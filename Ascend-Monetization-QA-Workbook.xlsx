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· README + Launch Gate" sheetId="1" state="visible" r:id="rId3"/>
    <sheet name="00b · Launch Decisions" sheetId="2" state="visible" r:id="rId4"/>
    <sheet name="01 · Publishing Checklist" sheetId="3" state="visible" r:id="rId5"/>
    <sheet name="02 · Ad Script" sheetId="4" state="visible" r:id="rId6"/>
    <sheet name="03 · Remote Config Matrix" sheetId="5" state="visible" r:id="rId7"/>
    <sheet name="04 · Rewarded Unlock Matrix" sheetId="6" state="visible" r:id="rId8"/>
    <sheet name="05 · IAP + Subscription" sheetId="7" state="visible" r:id="rId9"/>
    <sheet name="06 · Ad QA Test Cases" sheetId="8" state="visible" r:id="rId10"/>
    <sheet name="07 · Lifecycle + No-Internet" sheetId="9" state="visible" r:id="rId11"/>
    <sheet name="08 · Event Tracking QA" sheetId="10" state="visible" r:id="rId12"/>
    <sheet name="09 · Bug Log" sheetId="11" state="visible" r:id="rId13"/>
    <sheet name="10 · Release History" sheetId="12" state="visible" r:id="rId14"/>
    <sheet name="11 · Mediation Adapter QA" sheetId="13" state="visible" r:id="rId15"/>
    <sheet name="12 · Consent + Policy QA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<sst xmlns="http://schemas.openxmlformats.org/spreadsheetml/2006/main" count="2535" uniqueCount="972">
  <si>
    <t xml:space="preserve">Ascend / NewJob — Monetization QA &amp; Publishing Workbook</t>
  </si>
  <si>
    <t xml:space="preserve">Strict, engineering-clean rebuild of the Apero operating model. Tailored to the Ascend ad-arbitrage job app.</t>
  </si>
  <si>
    <t xml:space="preserve">HOW TO USE</t>
  </si>
  <si>
    <t xml:space="preserve">This workbook is the single source of truth for monetization + publishing QA. No build ships until it passes the Launch Gate below. Tabs flow: Checklist → Ad Script → Remote Config → Rewarded → IAP → Ad QA → Lifecycle QA → Event QA → Bug Log → Release History.</t>
  </si>
  <si>
    <t xml:space="preserve">⚠ SECRET HYGIENE — READ FIRST</t>
  </si>
  <si>
    <t xml:space="preserve">The original Apero sheets leaked live secrets: an Adjust key, a Facebook client token, a signing SHA fingerprint, AdMob app + ad-unit IDs, and Firebase console / APK links. DO NOT repeat that here. This workbook stores ad_unit_id and keys as PLACEHOLDERS only. Real values live in local.properties, CI secrets, Play/Firebase console, or 1Password — never in a shared sheet or Git.</t>
  </si>
  <si>
    <t xml:space="preserve">★ MONETIZATION QA GATE (all must pass before PPC scale)</t>
  </si>
  <si>
    <t xml:space="preserve">1</t>
  </si>
  <si>
    <t xml:space="preserve">Ad-script compliance — every live placement exists in the Ad Script tab with an owner, RC key, and cap.</t>
  </si>
  <si>
    <t xml:space="preserve">2</t>
  </si>
  <si>
    <t xml:space="preserve">Remote Config compliance — every placement is RC-controlled; missing key defaults OFF for full-screen formats; no blank ad containers.</t>
  </si>
  <si>
    <t xml:space="preserve">3</t>
  </si>
  <si>
    <t xml:space="preserve">Full-screen ad mutex — only ONE of {app-open, interstitial, rewarded, paywall, purchase dialog, permission dialog} can be on screen at once.</t>
  </si>
  <si>
    <t xml:space="preserve">4</t>
  </si>
  <si>
    <t xml:space="preserve">Paid-user suppression — paid users see no forced ads, no native loading placeholders, no app-open; opt-in rewarded only.</t>
  </si>
  <si>
    <t xml:space="preserve">5</t>
  </si>
  <si>
    <t xml:space="preserve">Rewarded correctness — reward granted ONLY on the earned-reward SDK callback, exactly once, never on ad close; no reward on fail/offline.</t>
  </si>
  <si>
    <t xml:space="preserve">6</t>
  </si>
  <si>
    <t xml:space="preserve">Lifecycle / no-internet — ad failure never blocks the core loop; offline + reconnect handled per format.</t>
  </si>
  <si>
    <t xml:space="preserve">7</t>
  </si>
  <si>
    <t xml:space="preserve">ILRD + IAP event logging — ad_impression (value+currency) and purchase fire correctly and are verified in GA4 DebugView.</t>
  </si>
  <si>
    <t xml:space="preserve">8</t>
  </si>
  <si>
    <t xml:space="preserve">Release-build validation — verified on a production-signed AAB via Play Internal Testing, not just a debug build.</t>
  </si>
  <si>
    <t xml:space="preserve">9</t>
  </si>
  <si>
    <t xml:space="preserve">Consent / policy compliance — privacy policy, Play Data Safety, UMP/consent behavior, Advertising-ID + ads declarations, app-ads.txt verified (see tab 12).</t>
  </si>
  <si>
    <t xml:space="preserve">TIES TO ACQUISITION (why the gate matters)</t>
  </si>
  <si>
    <t xml:space="preserve">tROAS for Ad Revenue (ARO) consumes ONLY the imported ad_impression event and only under the tROAS bid type. A logging gap (criteria 7) silently corrupts monetization, AdMob value-segmentation, AND Google Ads bidding at the same time. Fix measurement before scaling spend.</t>
  </si>
  <si>
    <t xml:space="preserve">STATUS LEGEND</t>
  </si>
  <si>
    <t xml:space="preserve">Pass = verified on release AAB · Fail = defect logged in Bug Log · Pending = not yet tested · Blocked = waiting on dep · N/A = not in this app version</t>
  </si>
  <si>
    <t xml:space="preserve">PROCESS: delete the [SAMPLE] row in the Bug Log before active QA so counts stay accurate. Fill caps/product IDs/prices/geos before implementation freeze (see Launch Decisions, Rewarded Unlock Matrix, IAP + Subscription, and Consent + Policy QA).</t>
  </si>
  <si>
    <t xml:space="preserve">Launch Decisions — confirmed for handoff</t>
  </si>
  <si>
    <t xml:space="preserve">Captured from product. These resolve the open questions; anything marked TODO still needs a value before scale.</t>
  </si>
  <si>
    <t xml:space="preserve">Package</t>
  </si>
  <si>
    <t xml:space="preserve">Brand-new package + app. Second copy of a validated idea. No conversion history yet.</t>
  </si>
  <si>
    <t xml:space="preserve">Buying channel</t>
  </si>
  <si>
    <t xml:space="preserve">Google App Campaigns ONLY. No third-party MMP. Attribution = Firebase/GA4 + Google Ads link.</t>
  </si>
  <si>
    <t xml:space="preserve">Mediation owner</t>
  </si>
  <si>
    <t xml:space="preserve">AdMob Mediation (sole control plane). Not running MAX as a parallel owner.</t>
  </si>
  <si>
    <t xml:space="preserve">Ad sources</t>
  </si>
  <si>
    <t xml:space="preserve">AdMob Network = WATERFALL backstop. Pangle, Mintegral, AppLovin, Liftoff Monetize = BIDDING.</t>
  </si>
  <si>
    <t xml:space="preserve">Floors</t>
  </si>
  <si>
    <t xml:space="preserve">Launch with AdMob ad-source optimization ON, no aggressive floors. After volume stabilizes, add PER-GEO price floors seeded from current app eCPM reference numbers.</t>
  </si>
  <si>
    <t xml:space="preserve">Reference data</t>
  </si>
  <si>
    <t xml:space="preserve">Reuse current app eCPM / retention / session benchmarks to seed expectations for the new copy.</t>
  </si>
  <si>
    <t xml:space="preserve">Bidding ladder</t>
  </si>
  <si>
    <t xml:space="preserve">tCPI (1–2 wks volume) → tCPA on onboarding_complete → tROAS-ARO/Hybrid after ~30d ad_impression value + ~50+ conv/mo. Do NOT start on tROAS.</t>
  </si>
  <si>
    <t xml:space="preserve">Activation event</t>
  </si>
  <si>
    <t xml:space="preserve">onboarding_complete (recommended tCPA event — early, high volume). core_action_done as the tighter alternative once volume allows.</t>
  </si>
  <si>
    <t xml:space="preserve">Monetization control</t>
  </si>
  <si>
    <t xml:space="preserve">Firebase Remote Config — controls ad placements/caps/tiers (NOT billing). Separate system from Play Billing.</t>
  </si>
  <si>
    <t xml:space="preserve">Launch ad tier</t>
  </si>
  <si>
    <t xml:space="preserve">ad_aggressiveness_tier = balanced at launch. → arbitrage_high per cheap geo after ~1 wk stable. → retention_protect for high-IAP geos.</t>
  </si>
  <si>
    <t xml:space="preserve">Subscriptions</t>
  </si>
  <si>
    <t xml:space="preserve">Google Play Billing (direct). No RevenueCat.</t>
  </si>
  <si>
    <t xml:space="preserve">App Open ads</t>
  </si>
  <si>
    <t xml:space="preserve">IN v1. Session 2+ if activated, else session 3. Suppression zones per Ad QA tab (OA01–OA12 + AX rules).</t>
  </si>
  <si>
    <t xml:space="preserve">v1 scope</t>
  </si>
  <si>
    <t xml:space="preserve">EVERYTHING shared is in v1: jobs, resume optimizer + builder, mock interview, copilot, tracker, games hub, ads, paywall.</t>
  </si>
  <si>
    <t xml:space="preserve">Secrets owner</t>
  </si>
  <si>
    <t xml:space="preserve">Fayyaz (PM) works with devs. All keys/IDs in console / local.properties / vault — never in these sheets or Git.</t>
  </si>
  <si>
    <t xml:space="preserve">TODO — Fayyaz/you</t>
  </si>
  <si>
    <t xml:space="preserve">Real Play product IDs + prices (IAP tab placeholders).</t>
  </si>
  <si>
    <t xml:space="preserve">Free-tier model</t>
  </si>
  <si>
    <t xml:space="preserve">RESOLVED: free users rewarded-gated (no free allowance) on resume download + cover letter + mock; Copilot is Pro-only (fully gated, no rewarded); paid users = ZERO ads entire journey. Caps in Rewarded tab, RC-adjustable.</t>
  </si>
  <si>
    <t xml:space="preserve">TODO — Eng</t>
  </si>
  <si>
    <t xml:space="preserve">Confirm each bidding adapter is integrated + ad-source optimization enabled in AdMob.</t>
  </si>
  <si>
    <t xml:space="preserve">Launch geos</t>
  </si>
  <si>
    <t xml:space="preserve">Worldwide incl. EEA/UK (CONFIRMED). All five networks relevant; Pangle/Mintegral carry more non-US inventory.</t>
  </si>
  <si>
    <t xml:space="preserve">UMP / consent</t>
  </si>
  <si>
    <t xml:space="preserve">HARD LAUNCH BLOCKER for EEA + UK + Switzerland only. Google-certified CMP (UMP/TCF) before personalized ads. UMP SDK ships globally but is region-gated. Brazil/SA = privacy-law review, NOT this gate. See tab 12.</t>
  </si>
  <si>
    <t xml:space="preserve">Default RC tier</t>
  </si>
  <si>
    <t xml:space="preserve">balanced at launch worldwide. arbitrage_high per cheap geo after ~1 wk stable; retention_protect for high-IAP geos.</t>
  </si>
  <si>
    <t xml:space="preserve">Final Play product IDs (currently NOT decided — IAP tab shows TBD).</t>
  </si>
  <si>
    <t xml:space="preserve">Final base prices for weekly / yearly / lifetime (+ yearly trial decision). LOCALIZED worldwide via Play pricing templates — purchase event sends real local value+currency (see IAP tab).</t>
  </si>
  <si>
    <t xml:space="preserve">Publishing &amp; SDK Checklist</t>
  </si>
  <si>
    <t xml:space="preserve">Ascend-specific plumbing. Replace every credential cell with a 1Password/console reference — never the value itself.</t>
  </si>
  <si>
    <t xml:space="preserve">No.</t>
  </si>
  <si>
    <t xml:space="preserve">Element</t>
  </si>
  <si>
    <t xml:space="preserve">Description / what "done" means</t>
  </si>
  <si>
    <t xml:space="preserve">Owner</t>
  </si>
  <si>
    <t xml:space="preserve">Status</t>
  </si>
  <si>
    <t xml:space="preserve">Evidence (link/where)</t>
  </si>
  <si>
    <t xml:space="preserve">Verify by</t>
  </si>
  <si>
    <t xml:space="preserve">Verify status</t>
  </si>
  <si>
    <t xml:space="preserve">Gate</t>
  </si>
  <si>
    <t xml:space="preserve">0</t>
  </si>
  <si>
    <t xml:space="preserve">Release build (AAB)</t>
  </si>
  <si>
    <t xml:space="preserve">Production-signed AAB uploaded to Play Internal Testing</t>
  </si>
  <si>
    <t xml:space="preserve">Eng</t>
  </si>
  <si>
    <t xml:space="preserve">Pending</t>
  </si>
  <si>
    <t xml:space="preserve">[Play Console link]</t>
  </si>
  <si>
    <t xml:space="preserve">Lead</t>
  </si>
  <si>
    <t xml:space="preserve">Launch blocker</t>
  </si>
  <si>
    <t xml:space="preserve">Firebase project</t>
  </si>
  <si>
    <t xml:space="preserve">GA4 + Firebase linked; Analytics enabled</t>
  </si>
  <si>
    <t xml:space="preserve">[Firebase console — do not paste key]</t>
  </si>
  <si>
    <t xml:space="preserve">google-services.json</t>
  </si>
  <si>
    <t xml:space="preserve">Added to app module; package matches</t>
  </si>
  <si>
    <t xml:space="preserve">in repo (not committed if it carries keys)</t>
  </si>
  <si>
    <t xml:space="preserve">AdMob app + ad units</t>
  </si>
  <si>
    <t xml:space="preserve">App ID + all ad-unit IDs mapped; IDs in local.properties only</t>
  </si>
  <si>
    <t xml:space="preserve">Eng + Fayyaz</t>
  </si>
  <si>
    <t xml:space="preserve">[1Password: Ascend AdMob]</t>
  </si>
  <si>
    <t xml:space="preserve">Mediation (one owner)</t>
  </si>
  <si>
    <t xml:space="preserve">AdMob Mediation = sole owner. AdMob Network as WATERFALL backstop; Pangle, Mintegral, AppLovin, Liftoff as BIDDING sources. Hybrid groups.</t>
  </si>
  <si>
    <t xml:space="preserve">AdMob mediation groups</t>
  </si>
  <si>
    <t xml:space="preserve">ILRD revenue listener</t>
  </si>
  <si>
    <t xml:space="preserve">OnPaidEvent/paid listener on EVERY format; valueMicros→value normalized</t>
  </si>
  <si>
    <t xml:space="preserve">MonetizationManager</t>
  </si>
  <si>
    <t xml:space="preserve">Implement ads per Ad Script</t>
  </si>
  <si>
    <t xml:space="preserve">Every placement matches tab "02 · Ad Script"; one placement_id per request</t>
  </si>
  <si>
    <t xml:space="preserve">Ad Script tab</t>
  </si>
  <si>
    <t xml:space="preserve">Remote Config</t>
  </si>
  <si>
    <t xml:space="preserve">All keys from tab "03" published; missing-key defaults safe</t>
  </si>
  <si>
    <t xml:space="preserve">Firebase Remote Config</t>
  </si>
  <si>
    <t xml:space="preserve">ad_impression → GA4</t>
  </si>
  <si>
    <t xml:space="preserve">value+currency+params logged; verified in DebugView</t>
  </si>
  <si>
    <t xml:space="preserve">GA4 DebugView</t>
  </si>
  <si>
    <t xml:space="preserve">ad_impression imported to Google Ads</t>
  </si>
  <si>
    <t xml:space="preserve">Imported as conversion; tROAS-ARO / Hybrid eligible</t>
  </si>
  <si>
    <t xml:space="preserve">UA</t>
  </si>
  <si>
    <t xml:space="preserve">Google Ads conversions</t>
  </si>
  <si>
    <t xml:space="preserve">Scale blocker</t>
  </si>
  <si>
    <t xml:space="preserve">10</t>
  </si>
  <si>
    <t xml:space="preserve">Play Billing (direct)</t>
  </si>
  <si>
    <t xml:space="preserve">Products live; entitlement + restore tested</t>
  </si>
  <si>
    <t xml:space="preserve">IAP tab</t>
  </si>
  <si>
    <t xml:space="preserve">11</t>
  </si>
  <si>
    <t xml:space="preserve">Crashlytics</t>
  </si>
  <si>
    <t xml:space="preserve">Crash-free smoke test; PII filtered from logs</t>
  </si>
  <si>
    <t xml:space="preserve">12</t>
  </si>
  <si>
    <t xml:space="preserve">FCM push</t>
  </si>
  <si>
    <t xml:space="preserve">Channels created (jobs_fresh, tracker, resume_interview, winback, monetization)</t>
  </si>
  <si>
    <t xml:space="preserve">FCM</t>
  </si>
  <si>
    <t xml:space="preserve">13</t>
  </si>
  <si>
    <t xml:space="preserve">Event logging</t>
  </si>
  <si>
    <t xml:space="preserve">All events in tab "08" fire with required params</t>
  </si>
  <si>
    <t xml:space="preserve">Event QA tab</t>
  </si>
  <si>
    <t xml:space="preserve">14</t>
  </si>
  <si>
    <t xml:space="preserve">Attribution SDK</t>
  </si>
  <si>
    <t xml:space="preserve">GOOGLE APP CAMPAIGNS ONLY — no Adjust/AppsFlyer needed; Firebase/GA4 + Google Ads link is the attribution path.</t>
  </si>
  <si>
    <t xml:space="preserve">—</t>
  </si>
  <si>
    <t xml:space="preserve">N/A</t>
  </si>
  <si>
    <t xml:space="preserve">Nice-to-have</t>
  </si>
  <si>
    <t xml:space="preserve">15</t>
  </si>
  <si>
    <t xml:space="preserve">Google Ads ↔ Firebase link</t>
  </si>
  <si>
    <t xml:space="preserve">Linked; real-time conversion sync on</t>
  </si>
  <si>
    <t xml:space="preserve">Google Ads linking</t>
  </si>
  <si>
    <t xml:space="preserve">16</t>
  </si>
  <si>
    <t xml:space="preserve">Privacy &amp; Data Safety</t>
  </si>
  <si>
    <t xml:space="preserve">Policy URL, Data Safety form, mic + resume/document disclosure, AI-content disclosure</t>
  </si>
  <si>
    <t xml:space="preserve">Fayyaz (PM)</t>
  </si>
  <si>
    <t xml:space="preserve">[Policy URL]</t>
  </si>
  <si>
    <t xml:space="preserve">17</t>
  </si>
  <si>
    <t xml:space="preserve">app-ads.txt</t>
  </si>
  <si>
    <t xml:space="preserve">Published on store/developer domain; verified</t>
  </si>
  <si>
    <t xml:space="preserve">PM</t>
  </si>
  <si>
    <t xml:space="preserve">[domain]/app-ads.txt</t>
  </si>
  <si>
    <t xml:space="preserve">18</t>
  </si>
  <si>
    <t xml:space="preserve">Store listing</t>
  </si>
  <si>
    <t xml:space="preserve">Icon, feature graphic, screenshots from REAL native app, copy</t>
  </si>
  <si>
    <t xml:space="preserve">Play Console listing</t>
  </si>
  <si>
    <t xml:space="preserve">Ad Script — master placement contract</t>
  </si>
  <si>
    <t xml:space="preserve">QA validates against this. Canonical snake_case IDs. ad_unit_id stays a placeholder; real IDs in local.properties.</t>
  </si>
  <si>
    <t xml:space="preserve">placement_id</t>
  </si>
  <si>
    <t xml:space="preserve">screen</t>
  </si>
  <si>
    <t xml:space="preserve">trigger / when shown</t>
  </si>
  <si>
    <t xml:space="preserve">ad_format</t>
  </si>
  <si>
    <t xml:space="preserve">ad_unit_id (placeholder)</t>
  </si>
  <si>
    <t xml:space="preserve">remote_config_key</t>
  </si>
  <si>
    <t xml:space="preserve">frequency / cap</t>
  </si>
  <si>
    <t xml:space="preserve">cooldown</t>
  </si>
  <si>
    <t xml:space="preserve">first eligible</t>
  </si>
  <si>
    <t xml:space="preserve">paid_user_behavior</t>
  </si>
  <si>
    <t xml:space="preserve">no_fill_behavior</t>
  </si>
  <si>
    <t xml:space="preserve">offline_behavior</t>
  </si>
  <si>
    <t xml:space="preserve">mockup</t>
  </si>
  <si>
    <t xml:space="preserve">qa_status</t>
  </si>
  <si>
    <t xml:space="preserve">load_strategy</t>
  </si>
  <si>
    <t xml:space="preserve">blocking_behavior</t>
  </si>
  <si>
    <t xml:space="preserve">ad_native_language</t>
  </si>
  <si>
    <t xml:space="preserve">Onboarding lang</t>
  </si>
  <si>
    <t xml:space="preserve">After language list</t>
  </si>
  <si>
    <t xml:space="preserve">Native</t>
  </si>
  <si>
    <t xml:space="preserve">{native_language}</t>
  </si>
  <si>
    <t xml:space="preserve">ads.native.language.enabled</t>
  </si>
  <si>
    <t xml:space="preserve">1 per screen</t>
  </si>
  <si>
    <t xml:space="preserve">session 1</t>
  </si>
  <si>
    <t xml:space="preserve">hidden</t>
  </si>
  <si>
    <t xml:space="preserve">collapse</t>
  </si>
  <si>
    <t xml:space="preserve">hide</t>
  </si>
  <si>
    <t xml:space="preserve">[Figma]</t>
  </si>
  <si>
    <t xml:space="preserve">lazy</t>
  </si>
  <si>
    <t xml:space="preserve">non-blocking collapse</t>
  </si>
  <si>
    <t xml:space="preserve">ad_native_onboarding_final</t>
  </si>
  <si>
    <t xml:space="preserve">End onboarding</t>
  </si>
  <si>
    <t xml:space="preserve">After role+location, before Home</t>
  </si>
  <si>
    <t xml:space="preserve">{native_onb_final}</t>
  </si>
  <si>
    <t xml:space="preserve">ads.native.onboarding_final.enabled</t>
  </si>
  <si>
    <t xml:space="preserve">ad_native_home_mid</t>
  </si>
  <si>
    <t xml:space="preserve">Home</t>
  </si>
  <si>
    <t xml:space="preserve">After Quick Actions</t>
  </si>
  <si>
    <t xml:space="preserve">{native_home}</t>
  </si>
  <si>
    <t xml:space="preserve">ads.native.home.enabled</t>
  </si>
  <si>
    <t xml:space="preserve">1 per home view</t>
  </si>
  <si>
    <t xml:space="preserve">ad_native_job_list</t>
  </si>
  <si>
    <t xml:space="preserve">Jobs results</t>
  </si>
  <si>
    <t xml:space="preserve">After first 4 organic, then every N</t>
  </si>
  <si>
    <t xml:space="preserve">{native_job_list}</t>
  </si>
  <si>
    <t xml:space="preserve">ads.native.job_list.enabled</t>
  </si>
  <si>
    <t xml:space="preserve">every 6 (RC: frequency)</t>
  </si>
  <si>
    <t xml:space="preserve">ad_inter_after_search_batch</t>
  </si>
  <si>
    <t xml:space="preserve">After 2–3 searches / Load more</t>
  </si>
  <si>
    <t xml:space="preserve">Interstitial</t>
  </si>
  <si>
    <t xml:space="preserve">{inter_search}</t>
  </si>
  <si>
    <t xml:space="preserve">ads.inter.search_batch.enabled</t>
  </si>
  <si>
    <t xml:space="preserve">max 1–2 / session</t>
  </si>
  <si>
    <t xml:space="preserve">90–180s</t>
  </si>
  <si>
    <t xml:space="preserve">session 2</t>
  </si>
  <si>
    <t xml:space="preserve">suppress</t>
  </si>
  <si>
    <t xml:space="preserve">skip</t>
  </si>
  <si>
    <t xml:space="preserve">preload</t>
  </si>
  <si>
    <t xml:space="preserve">fail open</t>
  </si>
  <si>
    <t xml:space="preserve">ad_inter_after_job_detail_close</t>
  </si>
  <si>
    <t xml:space="preserve">Job detail</t>
  </si>
  <si>
    <t xml:space="preserve">Close detail after viewing ≥2</t>
  </si>
  <si>
    <t xml:space="preserve">{inter_jobdetail}</t>
  </si>
  <si>
    <t xml:space="preserve">ads.inter.job_detail_close.enabled</t>
  </si>
  <si>
    <t xml:space="preserve">ad_native_job_detail_bottom</t>
  </si>
  <si>
    <t xml:space="preserve">Below description</t>
  </si>
  <si>
    <t xml:space="preserve">{native_jobdetail}</t>
  </si>
  <si>
    <t xml:space="preserve">ads.native.job_detail.enabled</t>
  </si>
  <si>
    <t xml:space="preserve">ad_rewarded_resume_optimize</t>
  </si>
  <si>
    <t xml:space="preserve">Resume optimizer</t>
  </si>
  <si>
    <t xml:space="preserve">Tap Apply AI fixes (after free score)</t>
  </si>
  <si>
    <t xml:space="preserve">Rewarded</t>
  </si>
  <si>
    <t xml:space="preserve">{rew_resume_opt}</t>
  </si>
  <si>
    <t xml:space="preserve">ads.reward.resume_optimize.enabled</t>
  </si>
  <si>
    <t xml:space="preserve">any</t>
  </si>
  <si>
    <t xml:space="preserve">unlimited / no ad</t>
  </si>
  <si>
    <t xml:space="preserve">retry/upgrade</t>
  </si>
  <si>
    <t xml:space="preserve">on-demand</t>
  </si>
  <si>
    <t xml:space="preserve">gated; clear retry/upgrade</t>
  </si>
  <si>
    <t xml:space="preserve">ad_rewarded_resume_download</t>
  </si>
  <si>
    <t xml:space="preserve">Resume result</t>
  </si>
  <si>
    <t xml:space="preserve">Tap Download optimized resume</t>
  </si>
  <si>
    <t xml:space="preserve">{rew_resume_dl}</t>
  </si>
  <si>
    <t xml:space="preserve">ads.reward.resume_download.enabled</t>
  </si>
  <si>
    <t xml:space="preserve">ad_rewarded_cover_letter</t>
  </si>
  <si>
    <t xml:space="preserve">Resume tools</t>
  </si>
  <si>
    <t xml:space="preserve">Generate cover letter</t>
  </si>
  <si>
    <t xml:space="preserve">{rew_cover}</t>
  </si>
  <si>
    <t xml:space="preserve">ads.reward.cover_letter.enabled</t>
  </si>
  <si>
    <t xml:space="preserve">ad_native_resume_result</t>
  </si>
  <si>
    <t xml:space="preserve">Below score, before suggestions</t>
  </si>
  <si>
    <t xml:space="preserve">{native_resume_res}</t>
  </si>
  <si>
    <t xml:space="preserve">ads.native.resume_result.enabled</t>
  </si>
  <si>
    <t xml:space="preserve">ad_inter_after_resume_score</t>
  </si>
  <si>
    <t xml:space="preserve">Close result / finish optimize</t>
  </si>
  <si>
    <t xml:space="preserve">{inter_resume}</t>
  </si>
  <si>
    <t xml:space="preserve">ads.inter.resume_score.enabled</t>
  </si>
  <si>
    <t xml:space="preserve">max 1 / session</t>
  </si>
  <si>
    <t xml:space="preserve">180s</t>
  </si>
  <si>
    <t xml:space="preserve">ad_rewarded_mock_start</t>
  </si>
  <si>
    <t xml:space="preserve">Mock setup</t>
  </si>
  <si>
    <t xml:space="preserve">Start mock after free allowance</t>
  </si>
  <si>
    <t xml:space="preserve">{rew_mock_start}</t>
  </si>
  <si>
    <t xml:space="preserve">ads.reward.mock_start.enabled</t>
  </si>
  <si>
    <t xml:space="preserve">ad_rewarded_mock_score</t>
  </si>
  <si>
    <t xml:space="preserve">Mock report</t>
  </si>
  <si>
    <t xml:space="preserve">Unlock detailed AI scoring</t>
  </si>
  <si>
    <t xml:space="preserve">{rew_mock_score}</t>
  </si>
  <si>
    <t xml:space="preserve">ads.reward.mock_score.enabled</t>
  </si>
  <si>
    <t xml:space="preserve">ad_inter_after_mock_report</t>
  </si>
  <si>
    <t xml:space="preserve">Exit report (no rewarded &lt;180s)</t>
  </si>
  <si>
    <t xml:space="preserve">{inter_mock}</t>
  </si>
  <si>
    <t xml:space="preserve">ads.inter.mock_report.enabled</t>
  </si>
  <si>
    <t xml:space="preserve">ad_rewarded_copilot_session</t>
  </si>
  <si>
    <t xml:space="preserve">Copilot setup</t>
  </si>
  <si>
    <t xml:space="preserve">Pro only — Copilot is fully gated behind paywall (NO rewarded unlock)</t>
  </si>
  <si>
    <t xml:space="preserve">N/A — reserved</t>
  </si>
  <si>
    <t xml:space="preserve">ads.reward.copilot_session.enabled</t>
  </si>
  <si>
    <t xml:space="preserve">N/A — Pro feature (no ads)</t>
  </si>
  <si>
    <t xml:space="preserve">ad_inter_after_copilot_end</t>
  </si>
  <si>
    <t xml:space="preserve">Copilot ended</t>
  </si>
  <si>
    <t xml:space="preserve">Tap Done (no rewarded just played)</t>
  </si>
  <si>
    <t xml:space="preserve">{inter_copilot}</t>
  </si>
  <si>
    <t xml:space="preserve">ads.inter.copilot_end.enabled</t>
  </si>
  <si>
    <t xml:space="preserve">ad_native_tracker_empty</t>
  </si>
  <si>
    <t xml:space="preserve">Tracker (empty)</t>
  </si>
  <si>
    <t xml:space="preserve">No tracked jobs</t>
  </si>
  <si>
    <t xml:space="preserve">{native_tracker}</t>
  </si>
  <si>
    <t xml:space="preserve">ads.native.tracker_empty.enabled</t>
  </si>
  <si>
    <t xml:space="preserve">ad_native_games_hub</t>
  </si>
  <si>
    <t xml:space="preserve">Games hub</t>
  </si>
  <si>
    <t xml:space="preserve">After first game row</t>
  </si>
  <si>
    <t xml:space="preserve">{native_games}</t>
  </si>
  <si>
    <t xml:space="preserve">ads.native.games_hub.enabled</t>
  </si>
  <si>
    <t xml:space="preserve">ad_inter_after_game_complete</t>
  </si>
  <si>
    <t xml:space="preserve">Game complete</t>
  </si>
  <si>
    <t xml:space="preserve">After completion</t>
  </si>
  <si>
    <t xml:space="preserve">{inter_game}</t>
  </si>
  <si>
    <t xml:space="preserve">ads.inter.game_complete.enabled</t>
  </si>
  <si>
    <t xml:space="preserve">1 per 2 games</t>
  </si>
  <si>
    <t xml:space="preserve">90s</t>
  </si>
  <si>
    <t xml:space="preserve">ad_rewarded_game_hint</t>
  </si>
  <si>
    <t xml:space="preserve">Game</t>
  </si>
  <si>
    <t xml:space="preserve">Hint / redo / extra puzzle</t>
  </si>
  <si>
    <t xml:space="preserve">{rew_game_hint}</t>
  </si>
  <si>
    <t xml:space="preserve">ads.reward.game_hint.enabled</t>
  </si>
  <si>
    <t xml:space="preserve">no ad (free for Pro)</t>
  </si>
  <si>
    <t xml:space="preserve">retry</t>
  </si>
  <si>
    <t xml:space="preserve">ad_appopen_resume</t>
  </si>
  <si>
    <t xml:space="preserve">App resume</t>
  </si>
  <si>
    <t xml:space="preserve">Return from background</t>
  </si>
  <si>
    <t xml:space="preserve">App-open</t>
  </si>
  <si>
    <t xml:space="preserve">{appopen_resume}</t>
  </si>
  <si>
    <t xml:space="preserve">ads.appopen.resume.enabled</t>
  </si>
  <si>
    <t xml:space="preserve">1/sess · 2/day</t>
  </si>
  <si>
    <t xml:space="preserve">30 min</t>
  </si>
  <si>
    <t xml:space="preserve">s2 if activated, else s3</t>
  </si>
  <si>
    <t xml:space="preserve">Remote Config Matrix — no blanks allowed</t>
  </si>
  <si>
    <t xml:space="preserve">Every full-screen placement defaults OFF on a missing key. This is the control plane the strategy doc references.</t>
  </si>
  <si>
    <t xml:space="preserve">remote_key</t>
  </si>
  <si>
    <t xml:space="preserve">default_value</t>
  </si>
  <si>
    <t xml:space="preserve">allowed_values</t>
  </si>
  <si>
    <t xml:space="preserve">owner</t>
  </si>
  <si>
    <t xml:space="preserve">screen / scope</t>
  </si>
  <si>
    <t xml:space="preserve">missing_key_behavior</t>
  </si>
  <si>
    <t xml:space="preserve">ad_aggressiveness_tier</t>
  </si>
  <si>
    <t xml:space="preserve">balanced</t>
  </si>
  <si>
    <t xml:space="preserve">retention_protect|balanced|arbitrage_high|paid_or_high_intent</t>
  </si>
  <si>
    <t xml:space="preserve">global</t>
  </si>
  <si>
    <t xml:space="preserve">paid_or_high_intent</t>
  </si>
  <si>
    <t xml:space="preserve">last cached</t>
  </si>
  <si>
    <t xml:space="preserve">ads_global_enabled</t>
  </si>
  <si>
    <t xml:space="preserve">true</t>
  </si>
  <si>
    <t xml:space="preserve">true|false</t>
  </si>
  <si>
    <t xml:space="preserve">all</t>
  </si>
  <si>
    <t xml:space="preserve">n/a</t>
  </si>
  <si>
    <t xml:space="preserve">respect cache</t>
  </si>
  <si>
    <t xml:space="preserve">false</t>
  </si>
  <si>
    <t xml:space="preserve">Jobs</t>
  </si>
  <si>
    <t xml:space="preserve">ads.native.job_list.frequency</t>
  </si>
  <si>
    <t xml:space="preserve">4|6|8</t>
  </si>
  <si>
    <t xml:space="preserve">Resume</t>
  </si>
  <si>
    <t xml:space="preserve">Mock</t>
  </si>
  <si>
    <t xml:space="preserve">ads.inter.cooldown_seconds</t>
  </si>
  <si>
    <t xml:space="preserve">120</t>
  </si>
  <si>
    <t xml:space="preserve">60–300</t>
  </si>
  <si>
    <t xml:space="preserve">all interstitial</t>
  </si>
  <si>
    <t xml:space="preserve">180</t>
  </si>
  <si>
    <t xml:space="preserve">ads.inter.max_per_session</t>
  </si>
  <si>
    <t xml:space="preserve">1|2|3</t>
  </si>
  <si>
    <t xml:space="preserve">opt-in only</t>
  </si>
  <si>
    <t xml:space="preserve">ads.reward.daily_cap</t>
  </si>
  <si>
    <t xml:space="preserve">3–8</t>
  </si>
  <si>
    <t xml:space="preserve">all rewarded</t>
  </si>
  <si>
    <t xml:space="preserve">OFF</t>
  </si>
  <si>
    <t xml:space="preserve">ads.appopen.resume.min_session</t>
  </si>
  <si>
    <t xml:space="preserve">2|3|4</t>
  </si>
  <si>
    <t xml:space="preserve">ads.appopen.resume.require_activation_for_session_2</t>
  </si>
  <si>
    <t xml:space="preserve">ads.appopen.resume.cooldown_minutes</t>
  </si>
  <si>
    <t xml:space="preserve">30</t>
  </si>
  <si>
    <t xml:space="preserve">20–60</t>
  </si>
  <si>
    <t xml:space="preserve">45</t>
  </si>
  <si>
    <t xml:space="preserve">ads.appopen.resume.max_per_session</t>
  </si>
  <si>
    <t xml:space="preserve">ads.appopen.resume.max_per_day</t>
  </si>
  <si>
    <t xml:space="preserve">ads.appopen.resume.suppress_after_fullscreen_ad_seconds</t>
  </si>
  <si>
    <t xml:space="preserve">120–300</t>
  </si>
  <si>
    <t xml:space="preserve">300</t>
  </si>
  <si>
    <t xml:space="preserve">ads.appopen.resume.load_timeout_ms</t>
  </si>
  <si>
    <t xml:space="preserve">1200</t>
  </si>
  <si>
    <t xml:space="preserve">800–1500</t>
  </si>
  <si>
    <t xml:space="preserve">ads.appopen.resume.ad_expiration_hours</t>
  </si>
  <si>
    <t xml:space="preserve">paywall.variant</t>
  </si>
  <si>
    <t xml:space="preserve">control</t>
  </si>
  <si>
    <t xml:space="preserve">control|discount|trial|lifetime</t>
  </si>
  <si>
    <t xml:space="preserve">Paywall</t>
  </si>
  <si>
    <t xml:space="preserve">paywall.suppress_if_rewarded_engaged</t>
  </si>
  <si>
    <t xml:space="preserve">push.jobs_fresh.daily_cap</t>
  </si>
  <si>
    <t xml:space="preserve">0–2</t>
  </si>
  <si>
    <t xml:space="preserve">push</t>
  </si>
  <si>
    <t xml:space="preserve">push.winback.enabled</t>
  </si>
  <si>
    <t xml:space="preserve">ads.appopen.resume.min_background_seconds</t>
  </si>
  <si>
    <t xml:space="preserve">15-60</t>
  </si>
  <si>
    <t xml:space="preserve">ads.appopen.resume.suppress_after_external_link_seconds</t>
  </si>
  <si>
    <t xml:space="preserve">120-600</t>
  </si>
  <si>
    <t xml:space="preserve">ads.appopen.resume.suppress_after_rewarded_seconds</t>
  </si>
  <si>
    <t xml:space="preserve">ads.appopen.resume.suppress_after_permission_seconds</t>
  </si>
  <si>
    <t xml:space="preserve">60-300</t>
  </si>
  <si>
    <t xml:space="preserve">ads.appopen.resume.suppress_during_resume_flow</t>
  </si>
  <si>
    <t xml:space="preserve">ads.appopen.resume.suppress_during_mock_flow</t>
  </si>
  <si>
    <t xml:space="preserve">ads.appopen.resume.suppress_during_copilot_flow</t>
  </si>
  <si>
    <t xml:space="preserve">Copilot</t>
  </si>
  <si>
    <t xml:space="preserve">ads.appopen.resume.suppress_during_billing_flow</t>
  </si>
  <si>
    <t xml:space="preserve">Billing</t>
  </si>
  <si>
    <t xml:space="preserve">ads.fullscreen.mutex_enabled</t>
  </si>
  <si>
    <t xml:space="preserve">all fullscreen</t>
  </si>
  <si>
    <t xml:space="preserve">ads.suppress_for_paid_users</t>
  </si>
  <si>
    <t xml:space="preserve">ads.inter.load_timeout_ms</t>
  </si>
  <si>
    <t xml:space="preserve">1000</t>
  </si>
  <si>
    <t xml:space="preserve">800-1200</t>
  </si>
  <si>
    <t xml:space="preserve">ads.reward.load_timeout_ms</t>
  </si>
  <si>
    <t xml:space="preserve">4000</t>
  </si>
  <si>
    <t xml:space="preserve">3000-5000</t>
  </si>
  <si>
    <t xml:space="preserve">ads.native.load_timeout_ms</t>
  </si>
  <si>
    <t xml:space="preserve">non-blocking</t>
  </si>
  <si>
    <t xml:space="preserve">all native</t>
  </si>
  <si>
    <t xml:space="preserve">Pro only</t>
  </si>
  <si>
    <t xml:space="preserve">Tracker</t>
  </si>
  <si>
    <t xml:space="preserve">Rewarded Unlock Matrix</t>
  </si>
  <si>
    <t xml:space="preserve">Reward fires ONLY on the earned-reward SDK callback, exactly once. Never on ad close. Never on fail/offline.</t>
  </si>
  <si>
    <t xml:space="preserve">trigger</t>
  </si>
  <si>
    <t xml:space="preserve">reward (exact, concrete)</t>
  </si>
  <si>
    <t xml:space="preserve">grant rule</t>
  </si>
  <si>
    <t xml:space="preserve">free cap</t>
  </si>
  <si>
    <t xml:space="preserve">paid behavior</t>
  </si>
  <si>
    <t xml:space="preserve">fallback if ad fails / no-fill</t>
  </si>
  <si>
    <t xml:space="preserve">free_daily_cap</t>
  </si>
  <si>
    <t xml:space="preserve">rewarded_daily_cap</t>
  </si>
  <si>
    <t xml:space="preserve">reset_window</t>
  </si>
  <si>
    <t xml:space="preserve">server_verified</t>
  </si>
  <si>
    <t xml:space="preserve">Apply AI fixes (after free score shown)</t>
  </si>
  <si>
    <t xml:space="preserve">Optimize this resume once</t>
  </si>
  <si>
    <t xml:space="preserve">on OnUserEarnedReward → unlock once</t>
  </si>
  <si>
    <t xml:space="preserve">rewarded only</t>
  </si>
  <si>
    <t xml:space="preserve">unlimited, no ad</t>
  </si>
  <si>
    <t xml:space="preserve">show "Ad unavailable — try again or upgrade" · score free; apply/download via rewarded</t>
  </si>
  <si>
    <t xml:space="preserve">24h</t>
  </si>
  <si>
    <t xml:space="preserve">backend+local</t>
  </si>
  <si>
    <t xml:space="preserve">Download optimized resume</t>
  </si>
  <si>
    <t xml:space="preserve">One export/download</t>
  </si>
  <si>
    <t xml:space="preserve">on earned-reward callback</t>
  </si>
  <si>
    <t xml:space="preserve">paywall first, rewarded after dismiss</t>
  </si>
  <si>
    <t xml:space="preserve">One cover letter for this job</t>
  </si>
  <si>
    <t xml:space="preserve">retry / upgrade</t>
  </si>
  <si>
    <t xml:space="preserve">One mock interview session</t>
  </si>
  <si>
    <t xml:space="preserve">1/day free, then rewarded</t>
  </si>
  <si>
    <t xml:space="preserve">Full score + improvement tips</t>
  </si>
  <si>
    <t xml:space="preserve">Start copilot session</t>
  </si>
  <si>
    <t xml:space="preserve">RESERVED PLACEHOLDER — do NOT implement. Copilot is Pro-only (paywall).</t>
  </si>
  <si>
    <t xml:space="preserve">No rewarded path</t>
  </si>
  <si>
    <t xml:space="preserve">Included in Pro; no rewarded path</t>
  </si>
  <si>
    <t xml:space="preserve">Copilot = Pro feature only; see IAP/paywall</t>
  </si>
  <si>
    <t xml:space="preserve">PRO ONLY</t>
  </si>
  <si>
    <t xml:space="preserve">Request hint / extra puzzle</t>
  </si>
  <si>
    <t xml:space="preserve">One hint or extra game</t>
  </si>
  <si>
    <t xml:space="preserve">daily cap</t>
  </si>
  <si>
    <t xml:space="preserve">IAP / Subscription + Ad-Suppression Matrix</t>
  </si>
  <si>
    <t xml:space="preserve">Products are placeholders. Entitlement caching + restore are mandatory QA. Tie every paid state to ad behavior.</t>
  </si>
  <si>
    <t xml:space="preserve">product_id</t>
  </si>
  <si>
    <t xml:space="preserve">type</t>
  </si>
  <si>
    <t xml:space="preserve">base price + localization</t>
  </si>
  <si>
    <t xml:space="preserve">trial</t>
  </si>
  <si>
    <t xml:space="preserve">entitlement key</t>
  </si>
  <si>
    <t xml:space="preserve">free vs Pro gate</t>
  </si>
  <si>
    <t xml:space="preserve">restore tested</t>
  </si>
  <si>
    <t xml:space="preserve">ascend.weekly  [TBD — not finalized]</t>
  </si>
  <si>
    <t xml:space="preserve">weekly</t>
  </si>
  <si>
    <t xml:space="preserve">Base USD [TBD] → Play localized pricing (auto-FX or custom per market)</t>
  </si>
  <si>
    <t xml:space="preserve">optional</t>
  </si>
  <si>
    <t xml:space="preserve">pro</t>
  </si>
  <si>
    <t xml:space="preserve">Pro = no forced ads + unlimited resume/mock/cover</t>
  </si>
  <si>
    <t xml:space="preserve">ascend.yearly  [TBD — not finalized]</t>
  </si>
  <si>
    <t xml:space="preserve">yearly</t>
  </si>
  <si>
    <t xml:space="preserve">yearly-trial</t>
  </si>
  <si>
    <t xml:space="preserve">Pro = no forced ads + unlimited</t>
  </si>
  <si>
    <t xml:space="preserve">ascend.lifetime  [TBD — not finalized]</t>
  </si>
  <si>
    <t xml:space="preserve">lifetime</t>
  </si>
  <si>
    <t xml:space="preserve">pro_lifetime</t>
  </si>
  <si>
    <t xml:space="preserve">Subscription × Ad QA matrix</t>
  </si>
  <si>
    <t xml:space="preserve">user state</t>
  </si>
  <si>
    <t xml:space="preserve">native</t>
  </si>
  <si>
    <t xml:space="preserve">interstitial</t>
  </si>
  <si>
    <t xml:space="preserve">app-open</t>
  </si>
  <si>
    <t xml:space="preserve">rewarded</t>
  </si>
  <si>
    <t xml:space="preserve">billing / reward</t>
  </si>
  <si>
    <t xml:space="preserve">expected</t>
  </si>
  <si>
    <t xml:space="preserve">Free</t>
  </si>
  <si>
    <t xml:space="preserve">per RC</t>
  </si>
  <si>
    <t xml:space="preserve">ads per tier/segment</t>
  </si>
  <si>
    <t xml:space="preserve">Paid (active)</t>
  </si>
  <si>
    <t xml:space="preserve">no forced ads, no loading placeholders</t>
  </si>
  <si>
    <t xml:space="preserve">Expired</t>
  </si>
  <si>
    <t xml:space="preserve">reverts to free ad behavior</t>
  </si>
  <si>
    <t xml:space="preserve">Purchase pending</t>
  </si>
  <si>
    <t xml:space="preserve">no dup billing</t>
  </si>
  <si>
    <t xml:space="preserve">no reward until confirmed</t>
  </si>
  <si>
    <t xml:space="preserve">Purchase canceled</t>
  </si>
  <si>
    <t xml:space="preserve">stays on prior screen cleanly</t>
  </si>
  <si>
    <t xml:space="preserve">Cache cleared</t>
  </si>
  <si>
    <t xml:space="preserve">opt-in</t>
  </si>
  <si>
    <t xml:space="preserve">restore</t>
  </si>
  <si>
    <t xml:space="preserve">entitlement restored correctly</t>
  </si>
  <si>
    <t xml:space="preserve">Offline (was paid)</t>
  </si>
  <si>
    <t xml:space="preserve">entitlement cache respected</t>
  </si>
  <si>
    <t xml:space="preserve">Play Billing failure / edge states (add to ad-suppression QA)</t>
  </si>
  <si>
    <t xml:space="preserve">state</t>
  </si>
  <si>
    <t xml:space="preserve">expected behavior</t>
  </si>
  <si>
    <t xml:space="preserve">ads</t>
  </si>
  <si>
    <t xml:space="preserve">reward</t>
  </si>
  <si>
    <t xml:space="preserve">notes</t>
  </si>
  <si>
    <t xml:space="preserve">status</t>
  </si>
  <si>
    <t xml:space="preserve">Billing unavailable</t>
  </si>
  <si>
    <t xml:space="preserve">Hide Pro CTAs gracefully; app still usable</t>
  </si>
  <si>
    <t xml:space="preserve">Play services missing/old</t>
  </si>
  <si>
    <t xml:space="preserve">Purchase failed</t>
  </si>
  <si>
    <t xml:space="preserve">Stay on screen; clear error; no entitlement</t>
  </si>
  <si>
    <t xml:space="preserve">network/declined</t>
  </si>
  <si>
    <t xml:space="preserve">Purchase deferred/pending</t>
  </si>
  <si>
    <t xml:space="preserve">No entitlement, no reward until resolved</t>
  </si>
  <si>
    <t xml:space="preserve">no reward</t>
  </si>
  <si>
    <t xml:space="preserve">slow/3rd-party payment</t>
  </si>
  <si>
    <t xml:space="preserve">Restore failed</t>
  </si>
  <si>
    <t xml:space="preserve">Treat as free + visible "Restore" option</t>
  </si>
  <si>
    <t xml:space="preserve">offline/no record</t>
  </si>
  <si>
    <t xml:space="preserve">Refunded / revoked</t>
  </si>
  <si>
    <t xml:space="preserve">Drop entitlement; revert to free ad behavior</t>
  </si>
  <si>
    <t xml:space="preserve">Play revoke webhook/recheck</t>
  </si>
  <si>
    <t xml:space="preserve">Grace period</t>
  </si>
  <si>
    <t xml:space="preserve">Keep Pro (no forced ads) during grace</t>
  </si>
  <si>
    <t xml:space="preserve">payment retry window</t>
  </si>
  <si>
    <t xml:space="preserve">Account hold</t>
  </si>
  <si>
    <t xml:space="preserve">Revert to free until payment fixed</t>
  </si>
  <si>
    <t xml:space="preserve">hold state</t>
  </si>
  <si>
    <t xml:space="preserve">Product not found</t>
  </si>
  <si>
    <t xml:space="preserve">Fail safe; hide that product; log</t>
  </si>
  <si>
    <t xml:space="preserve">SKU mismatch</t>
  </si>
  <si>
    <t xml:space="preserve">Duplicate purchase attempt</t>
  </si>
  <si>
    <t xml:space="preserve">Block double charge; acknowledge once</t>
  </si>
  <si>
    <t xml:space="preserve">already owned</t>
  </si>
  <si>
    <t xml:space="preserve">entitlement_unknown</t>
  </si>
  <si>
    <t xml:space="preserve">Do NOT show forced ads until restore resolves; use cache; if offline+no cache treat as free w/ restore</t>
  </si>
  <si>
    <t xml:space="preserve">the cache-cleared gap</t>
  </si>
  <si>
    <t xml:space="preserve">NOTE: ascend.lifetime = one-time in-app product (does NOT renew). weekly/yearly = subscriptions. Do not implement lifetime as a subscription.</t>
  </si>
  <si>
    <t xml:space="preserve">Localized pricing — implementation rules (worldwide incl. EEA/UK)</t>
  </si>
  <si>
    <t xml:space="preserve">• Set base price per product in Play Console; use Play pricing templates so all markets stay in sync. Auto-converted by default; override per market where needed (psychological price points, tax-inclusive EU display).</t>
  </si>
  <si>
    <t xml:space="preserve">• PURCHASE EVENT MUST send the REAL local price + ISO currency from Play Billing ProductDetails of that transaction. NEVER hardcode USD. A ₹/R$/€ sale must report its own value+currency.</t>
  </si>
  <si>
    <t xml:space="preserve">• GA4 converts incoming revenue to the property reporting currency for dashboards; Google Ads converts to account currency for tROAS. You send local; Google handles FX. Do not pre-convert client-side.</t>
  </si>
  <si>
    <t xml:space="preserve">• EU/EEA: prices shown tax-inclusive; Play handles VAT. Confirm displayed price matches Play confirmation sheet (Apero QA: trial/price text must match).</t>
  </si>
  <si>
    <t xml:space="preserve">• QA: verify purchase value+currency in GA4 DebugView for at least 2 non-USD test markets before scale.</t>
  </si>
  <si>
    <t xml:space="preserve">Ad QA Test Cases</t>
  </si>
  <si>
    <t xml:space="preserve">Ported from Apero IA/OA/N/B/R taxonomy + Ascend-specific cases. Dual sign-off: partner check then QA(QC) confirm.</t>
  </si>
  <si>
    <t xml:space="preserve">Pass</t>
  </si>
  <si>
    <t xml:space="preserve">Fail</t>
  </si>
  <si>
    <t xml:space="preserve">TC ID</t>
  </si>
  <si>
    <t xml:space="preserve">format</t>
  </si>
  <si>
    <t xml:space="preserve">test</t>
  </si>
  <si>
    <t xml:space="preserve">expected result</t>
  </si>
  <si>
    <t xml:space="preserve">partner check</t>
  </si>
  <si>
    <t xml:space="preserve">QA (QC) confirm</t>
  </si>
  <si>
    <t xml:space="preserve">priority</t>
  </si>
  <si>
    <t xml:space="preserve">tester</t>
  </si>
  <si>
    <t xml:space="preserve">evidence_link</t>
  </si>
  <si>
    <t xml:space="preserve">build_version</t>
  </si>
  <si>
    <t xml:space="preserve">device</t>
  </si>
  <si>
    <t xml:space="preserve">date</t>
  </si>
  <si>
    <t xml:space="preserve">1 · Interstitial</t>
  </si>
  <si>
    <t xml:space="preserve">IA01</t>
  </si>
  <si>
    <t xml:space="preserve">Loading ad shown before full ad</t>
  </si>
  <si>
    <t xml:space="preserve">Loading state, then interstitial</t>
  </si>
  <si>
    <t xml:space="preserve">Medium</t>
  </si>
  <si>
    <t xml:space="preserve">IA02</t>
  </si>
  <si>
    <t xml:space="preserve">Click ad</t>
  </si>
  <si>
    <t xml:space="preserve">Redirects to landing page</t>
  </si>
  <si>
    <t xml:space="preserve">IA03</t>
  </si>
  <si>
    <t xml:space="preserve">Close ad</t>
  </si>
  <si>
    <t xml:space="preserve">Next screen shown immediately</t>
  </si>
  <si>
    <t xml:space="preserve">High</t>
  </si>
  <si>
    <t xml:space="preserve">IA04</t>
  </si>
  <si>
    <t xml:space="preserve">Two full-screen ads conflict</t>
  </si>
  <si>
    <t xml:space="preserve">MUTEX: only one full-screen ad at a time</t>
  </si>
  <si>
    <t xml:space="preserve">Critical</t>
  </si>
  <si>
    <t xml:space="preserve">IA05</t>
  </si>
  <si>
    <t xml:space="preserve">Show after splash loads</t>
  </si>
  <si>
    <t xml:space="preserve">No ad before splash; loading then ad</t>
  </si>
  <si>
    <t xml:space="preserve">IA06</t>
  </si>
  <si>
    <t xml:space="preserve">No internet</t>
  </si>
  <si>
    <t xml:space="preserve">Flow continues normally; no block</t>
  </si>
  <si>
    <t xml:space="preserve">IA07</t>
  </si>
  <si>
    <t xml:space="preserve">Ad does not overlay app content/audio</t>
  </si>
  <si>
    <t xml:space="preserve">No popup/music overlap during ad</t>
  </si>
  <si>
    <t xml:space="preserve">2 · App-open / Resume</t>
  </si>
  <si>
    <t xml:space="preserve">OA01</t>
  </si>
  <si>
    <t xml:space="preserve">Background fill under resume ad</t>
  </si>
  <si>
    <t xml:space="preserve">Branded/neutral surface, no half-rendered content</t>
  </si>
  <si>
    <t xml:space="preserve">OA02</t>
  </si>
  <si>
    <t xml:space="preserve">Click resume ad</t>
  </si>
  <si>
    <t xml:space="preserve">OA03</t>
  </si>
  <si>
    <t xml:space="preserve">Close resume ad</t>
  </si>
  <si>
    <t xml:space="preserve">Returns to the resume screen</t>
  </si>
  <si>
    <t xml:space="preserve">OA04</t>
  </si>
  <si>
    <t xml:space="preserve">Return from permission/settings</t>
  </si>
  <si>
    <t xml:space="preserve">Do NOT show resume ad</t>
  </si>
  <si>
    <t xml:space="preserve">OA05</t>
  </si>
  <si>
    <t xml:space="preserve">On IAP/Sub, Terms, Privacy screens</t>
  </si>
  <si>
    <t xml:space="preserve">OA06</t>
  </si>
  <si>
    <t xml:space="preserve">Return from Rate-Us / share sheet</t>
  </si>
  <si>
    <t xml:space="preserve">OA07</t>
  </si>
  <si>
    <t xml:space="preserve">No internet on resume</t>
  </si>
  <si>
    <t xml:space="preserve">No ad; functions work normally</t>
  </si>
  <si>
    <t xml:space="preserve">OA08</t>
  </si>
  <si>
    <t xml:space="preserve">Not first launch</t>
  </si>
  <si>
    <t xml:space="preserve">No app-open on session 1; s2 only if activated</t>
  </si>
  <si>
    <t xml:space="preserve">Ascend rule</t>
  </si>
  <si>
    <t xml:space="preserve">OA09</t>
  </si>
  <si>
    <t xml:space="preserve">Return from external apply link</t>
  </si>
  <si>
    <t xml:space="preserve">Do NOT show; show tracker prompt instead</t>
  </si>
  <si>
    <t xml:space="preserve">OA10</t>
  </si>
  <si>
    <t xml:space="preserve">During resume upload / mock / copilot</t>
  </si>
  <si>
    <t xml:space="preserve">Do NOT show app-open</t>
  </si>
  <si>
    <t xml:space="preserve">3 · Native</t>
  </si>
  <si>
    <t xml:space="preserve">N01</t>
  </si>
  <si>
    <t xml:space="preserve">Loading placeholder before ad</t>
  </si>
  <si>
    <t xml:space="preserve">Placeholder same size as final ad</t>
  </si>
  <si>
    <t xml:space="preserve">N02</t>
  </si>
  <si>
    <t xml:space="preserve">Layout</t>
  </si>
  <si>
    <t xml:space="preserve">Not overlapped or cut</t>
  </si>
  <si>
    <t xml:space="preserve">N03</t>
  </si>
  <si>
    <t xml:space="preserve">Background differs from app bg</t>
  </si>
  <si>
    <t xml:space="preserve">Distinguishable</t>
  </si>
  <si>
    <t xml:space="preserve">Low</t>
  </si>
  <si>
    <t xml:space="preserve">N04</t>
  </si>
  <si>
    <t xml:space="preserve">AdChoices</t>
  </si>
  <si>
    <t xml:space="preserve">Inside the ad frame</t>
  </si>
  <si>
    <t xml:space="preserve">N05</t>
  </si>
  <si>
    <t xml:space="preserve">"AD" label</t>
  </si>
  <si>
    <t xml:space="preserve">Visible, stands out</t>
  </si>
  <si>
    <t xml:space="preserve">N06</t>
  </si>
  <si>
    <t xml:space="preserve">MediaView</t>
  </si>
  <si>
    <t xml:space="preserve">Min 120x120dp</t>
  </si>
  <si>
    <t xml:space="preserve">N07</t>
  </si>
  <si>
    <t xml:space="preserve">Title truncation</t>
  </si>
  <si>
    <t xml:space="preserve">Ellipsize cleanly (Apero ref: ~25 chars; test long strings — do not hardcode)</t>
  </si>
  <si>
    <t xml:space="preserve">N08</t>
  </si>
  <si>
    <t xml:space="preserve">Body truncation</t>
  </si>
  <si>
    <t xml:space="preserve">Ellipsize cleanly (Apero ref: ~90 chars; test long strings)</t>
  </si>
  <si>
    <t xml:space="preserve">N09</t>
  </si>
  <si>
    <t xml:space="preserve">Does not cover app content</t>
  </si>
  <si>
    <t xml:space="preserve">No overlap either direction</t>
  </si>
  <si>
    <t xml:space="preserve">N10</t>
  </si>
  <si>
    <t xml:space="preserve">Links to landing page</t>
  </si>
  <si>
    <t xml:space="preserve">N11</t>
  </si>
  <si>
    <t xml:space="preserve">No internet / no-fill</t>
  </si>
  <si>
    <t xml:space="preserve">Hide loading + ad cleanly; container collapses</t>
  </si>
  <si>
    <t xml:space="preserve">N12</t>
  </si>
  <si>
    <t xml:space="preserve">Job-list ad labeled</t>
  </si>
  <si>
    <t xml:space="preserve">Looks like a card but clearly "Sponsored/Ad"</t>
  </si>
  <si>
    <t xml:space="preserve">4 · Banner (only if a placement proves profitable)</t>
  </si>
  <si>
    <t xml:space="preserve">B01</t>
  </si>
  <si>
    <t xml:space="preserve">Banner</t>
  </si>
  <si>
    <t xml:space="preserve">Loading before ad</t>
  </si>
  <si>
    <t xml:space="preserve">Loading then banner</t>
  </si>
  <si>
    <t xml:space="preserve">N/A until a banner placement is added to Ad Script</t>
  </si>
  <si>
    <t xml:space="preserve">B02</t>
  </si>
  <si>
    <t xml:space="preserve">Does not cover content</t>
  </si>
  <si>
    <t xml:space="preserve">Anchored, no overlap</t>
  </si>
  <si>
    <t xml:space="preserve">B03</t>
  </si>
  <si>
    <t xml:space="preserve">Click</t>
  </si>
  <si>
    <t xml:space="preserve">B04</t>
  </si>
  <si>
    <t xml:space="preserve">Hide cleanly</t>
  </si>
  <si>
    <t xml:space="preserve">5 · Rewarded</t>
  </si>
  <si>
    <t xml:space="preserve">R01</t>
  </si>
  <si>
    <t xml:space="preserve">Reward sign at trigger</t>
  </si>
  <si>
    <t xml:space="preserve">Clear "watch ad to..." with exact reward</t>
  </si>
  <si>
    <t xml:space="preserve">R02</t>
  </si>
  <si>
    <t xml:space="preserve">R03</t>
  </si>
  <si>
    <t xml:space="preserve">Complete ad</t>
  </si>
  <si>
    <t xml:space="preserve">Reward granted on earned-reward callback, ONCE</t>
  </si>
  <si>
    <t xml:space="preserve">R04</t>
  </si>
  <si>
    <t xml:space="preserve">MUTEX honored</t>
  </si>
  <si>
    <t xml:space="preserve">R05</t>
  </si>
  <si>
    <t xml:space="preserve">Clear message; NO reward</t>
  </si>
  <si>
    <t xml:space="preserve">R06</t>
  </si>
  <si>
    <t xml:space="preserve">Close early / ad fails</t>
  </si>
  <si>
    <t xml:space="preserve">NO reward; retry/upgrade fallback</t>
  </si>
  <si>
    <t xml:space="preserve">R07</t>
  </si>
  <si>
    <t xml:space="preserve">No interstitial stacked after rewarded</t>
  </si>
  <si>
    <t xml:space="preserve">Suppress interstitial ≥180s after rewarded</t>
  </si>
  <si>
    <t xml:space="preserve">6 · Ascend value-protection (no ad at the wrong moment)</t>
  </si>
  <si>
    <t xml:space="preserve">AX01</t>
  </si>
  <si>
    <t xml:space="preserve">All</t>
  </si>
  <si>
    <t xml:space="preserve">No ad before first value moment (session 1)</t>
  </si>
  <si>
    <t xml:space="preserve">No FULL-SCREEN ad before first value (session 1). Native is allowed only if it does not block onboarding, does not shift layout, and collapses on no-fill.</t>
  </si>
  <si>
    <t xml:space="preserve">AX02</t>
  </si>
  <si>
    <t xml:space="preserve">No ad during resume upload/parsing</t>
  </si>
  <si>
    <t xml:space="preserve">Clean flow</t>
  </si>
  <si>
    <t xml:space="preserve">AX03</t>
  </si>
  <si>
    <t xml:space="preserve">No ad during active mock interview</t>
  </si>
  <si>
    <t xml:space="preserve">AX04</t>
  </si>
  <si>
    <t xml:space="preserve">No ad during active copilot session</t>
  </si>
  <si>
    <t xml:space="preserve">AX05</t>
  </si>
  <si>
    <t xml:space="preserve">No forced ad for paid users</t>
  </si>
  <si>
    <t xml:space="preserve">Suppressed everywhere</t>
  </si>
  <si>
    <t xml:space="preserve">AX06</t>
  </si>
  <si>
    <t xml:space="preserve">Remote key OFF hides placement</t>
  </si>
  <si>
    <t xml:space="preserve">No blank container remains</t>
  </si>
  <si>
    <t xml:space="preserve">AX07</t>
  </si>
  <si>
    <t xml:space="preserve">No infinite ad loading</t>
  </si>
  <si>
    <t xml:space="preserve">Fail open after timeout</t>
  </si>
  <si>
    <t xml:space="preserve">OA11</t>
  </si>
  <si>
    <t xml:space="preserve">Return from ad landing page</t>
  </si>
  <si>
    <t xml:space="preserve">OA12</t>
  </si>
  <si>
    <t xml:space="preserve">Foreground after &lt;30s background</t>
  </si>
  <si>
    <t xml:space="preserve">N13</t>
  </si>
  <si>
    <t xml:space="preserve">Paid-user suppression</t>
  </si>
  <si>
    <t xml:space="preserve">No native loading placeholder remains for paid users</t>
  </si>
  <si>
    <t xml:space="preserve">R08</t>
  </si>
  <si>
    <t xml:space="preserve">Double-tap / duplicate reward</t>
  </si>
  <si>
    <t xml:space="preserve">Reward granted exactly once, never twice</t>
  </si>
  <si>
    <t xml:space="preserve">AX08</t>
  </si>
  <si>
    <t xml:space="preserve">No ad requested before UMP consent resolves</t>
  </si>
  <si>
    <t xml:space="preserve">Ad SDK init / first request gated behind canRequestAds()==true; EEA/UK/CH form shown first</t>
  </si>
  <si>
    <t xml:space="preserve">EEA/UK/CH</t>
  </si>
  <si>
    <t xml:space="preserve">Lifecycle / No-Internet / Reconnect QA</t>
  </si>
  <si>
    <t xml:space="preserve">Rule: an ad failure must NEVER block the core loop. Rewarded is the only gated exception, and still needs a clear state.</t>
  </si>
  <si>
    <t xml:space="preserve">#</t>
  </si>
  <si>
    <t xml:space="preserve">scenario</t>
  </si>
  <si>
    <t xml:space="preserve">Start app offline</t>
  </si>
  <si>
    <t xml:space="preserve">App opens; search shows offline/empty state</t>
  </si>
  <si>
    <t xml:space="preserve">Search jobs offline</t>
  </si>
  <si>
    <t xml:space="preserve">Clear offline state; no stuck loader</t>
  </si>
  <si>
    <t xml:space="preserve">Open saved jobs / tracker offline</t>
  </si>
  <si>
    <t xml:space="preserve">Local Room data shows</t>
  </si>
  <si>
    <t xml:space="preserve">Start resume optimizer offline</t>
  </si>
  <si>
    <t xml:space="preserve">Clear message; no infinite load</t>
  </si>
  <si>
    <t xml:space="preserve">Lose internet during rewarded ad</t>
  </si>
  <si>
    <t xml:space="preserve">No reward; retry/upgrade message</t>
  </si>
  <si>
    <t xml:space="preserve">Reconnect while ad loading</t>
  </si>
  <si>
    <t xml:space="preserve">Recovers or fails open; flow continues</t>
  </si>
  <si>
    <t xml:space="preserve">Reconnect after failed search</t>
  </si>
  <si>
    <t xml:space="preserve">Search works; no duplicate calls</t>
  </si>
  <si>
    <t xml:space="preserve">Reconnect after failed resume upload</t>
  </si>
  <si>
    <t xml:space="preserve">Upload ret[ries] cleanly</t>
  </si>
  <si>
    <t xml:space="preserve">Interstitial not ready at trigger</t>
  </si>
  <si>
    <t xml:space="preserve">Continue immediately; preload next</t>
  </si>
  <si>
    <t xml:space="preserve">App backgrounded &lt;15–30s then resumed</t>
  </si>
  <si>
    <t xml:space="preserve">No app-open ad</t>
  </si>
  <si>
    <t xml:space="preserve">Two full-screen triggers race</t>
  </si>
  <si>
    <t xml:space="preserve">Mutex: second is suppressed</t>
  </si>
  <si>
    <t xml:space="preserve">Push tap into active flow</t>
  </si>
  <si>
    <t xml:space="preserve">No app-open over the flow</t>
  </si>
  <si>
    <t xml:space="preserve">App killed/restarted while ad was loaded</t>
  </si>
  <si>
    <t xml:space="preserve">No stale ad shown; reload cleanly</t>
  </si>
  <si>
    <t xml:space="preserve">App killed/restarted during rewarded unlock</t>
  </si>
  <si>
    <t xml:space="preserve">No reward unless earned-callback fired; safe state</t>
  </si>
  <si>
    <t xml:space="preserve">Resume after returning from Play Billing</t>
  </si>
  <si>
    <t xml:space="preserve">No app-open ad over billing return</t>
  </si>
  <si>
    <t xml:space="preserve">Resume after file picker</t>
  </si>
  <si>
    <t xml:space="preserve">No app-open ad over picker return</t>
  </si>
  <si>
    <t xml:space="preserve">Resume after microphone permission</t>
  </si>
  <si>
    <t xml:space="preserve">No app-open ad over permission return</t>
  </si>
  <si>
    <t xml:space="preserve">Event Tracking QA — execution tracker (mirrors Event Schema contract)</t>
  </si>
  <si>
    <t xml:space="preserve">ad_impression is the keystone (tROAS-ARO). Verify value+currency in DebugView, Realtime, and BigQuery. Event names match the schema 1:1.</t>
  </si>
  <si>
    <t xml:space="preserve">event</t>
  </si>
  <si>
    <t xml:space="preserve">feeds</t>
  </si>
  <si>
    <t xml:space="preserve">required params</t>
  </si>
  <si>
    <t xml:space="preserve">Implemented?</t>
  </si>
  <si>
    <t xml:space="preserve">DebugView</t>
  </si>
  <si>
    <t xml:space="preserve">BigQuery</t>
  </si>
  <si>
    <t xml:space="preserve">GAds imported</t>
  </si>
  <si>
    <t xml:space="preserve">Acquisition &amp; Activation</t>
  </si>
  <si>
    <t xml:space="preserve">first_open</t>
  </si>
  <si>
    <t xml:space="preserve">attribution</t>
  </si>
  <si>
    <t xml:space="preserve">referrer_source, install_id</t>
  </si>
  <si>
    <t xml:space="preserve">P0</t>
  </si>
  <si>
    <t xml:space="preserve">onboarding_step</t>
  </si>
  <si>
    <t xml:space="preserve">funnel</t>
  </si>
  <si>
    <t xml:space="preserve">step, skipped</t>
  </si>
  <si>
    <t xml:space="preserve">P2</t>
  </si>
  <si>
    <t xml:space="preserve">onboarding_complete</t>
  </si>
  <si>
    <t xml:space="preserve">activation</t>
  </si>
  <si>
    <t xml:space="preserve">target_role_present, target_role_category, location_type, resume_uploaded</t>
  </si>
  <si>
    <t xml:space="preserve">core_action_done</t>
  </si>
  <si>
    <t xml:space="preserve">action_type, session_number</t>
  </si>
  <si>
    <t xml:space="preserve">Core Job Loop</t>
  </si>
  <si>
    <t xml:space="preserve">job_search</t>
  </si>
  <si>
    <t xml:space="preserve">behavior</t>
  </si>
  <si>
    <t xml:space="preserve">query_present, filters_used, results_count, source</t>
  </si>
  <si>
    <t xml:space="preserve">P1</t>
  </si>
  <si>
    <t xml:space="preserve">job_detail_view</t>
  </si>
  <si>
    <t xml:space="preserve">match_score_band, employment_type, remote_type</t>
  </si>
  <si>
    <t xml:space="preserve">job_save</t>
  </si>
  <si>
    <t xml:space="preserve">intent</t>
  </si>
  <si>
    <t xml:space="preserve">from_screen</t>
  </si>
  <si>
    <t xml:space="preserve">job_apply_click</t>
  </si>
  <si>
    <t xml:space="preserve">apply_type</t>
  </si>
  <si>
    <t xml:space="preserve">tracker_stage_change</t>
  </si>
  <si>
    <t xml:space="preserve">from_stage, to_stage</t>
  </si>
  <si>
    <t xml:space="preserve">Resume &amp; Interview</t>
  </si>
  <si>
    <t xml:space="preserve">resume_upload</t>
  </si>
  <si>
    <t xml:space="preserve">file_type, file_size_band</t>
  </si>
  <si>
    <t xml:space="preserve">resume_optimize_start</t>
  </si>
  <si>
    <t xml:space="preserve">has_target_job</t>
  </si>
  <si>
    <t xml:space="preserve">resume_optimize_complete</t>
  </si>
  <si>
    <t xml:space="preserve">quality</t>
  </si>
  <si>
    <t xml:space="preserve">score_band, gated_by</t>
  </si>
  <si>
    <t xml:space="preserve">resume_download</t>
  </si>
  <si>
    <t xml:space="preserve">format, gated_by</t>
  </si>
  <si>
    <t xml:space="preserve">cover_letter_generate</t>
  </si>
  <si>
    <t xml:space="preserve">gated_by</t>
  </si>
  <si>
    <t xml:space="preserve">mock_interview_start</t>
  </si>
  <si>
    <t xml:space="preserve">gated_by, role_source</t>
  </si>
  <si>
    <t xml:space="preserve">mock_interview_complete</t>
  </si>
  <si>
    <t xml:space="preserve">questions_answered, gated_by</t>
  </si>
  <si>
    <t xml:space="preserve">copilot_session_start</t>
  </si>
  <si>
    <t xml:space="preserve">★ Monetization Spine — value+currency REQUIRED</t>
  </si>
  <si>
    <t xml:space="preserve">ad_impression</t>
  </si>
  <si>
    <t xml:space="preserve">BIDDING</t>
  </si>
  <si>
    <t xml:space="preserve">value, currency, ad_format, ad_source, ad_unit, placement, precision, session_number</t>
  </si>
  <si>
    <t xml:space="preserve">rewarded_ad_start</t>
  </si>
  <si>
    <t xml:space="preserve">monetization</t>
  </si>
  <si>
    <t xml:space="preserve">placement, reward_type</t>
  </si>
  <si>
    <t xml:space="preserve">rewarded_ad_complete</t>
  </si>
  <si>
    <t xml:space="preserve">reward_type, placement, reward_granted</t>
  </si>
  <si>
    <t xml:space="preserve">purchase</t>
  </si>
  <si>
    <t xml:space="preserve">BIDDING / IAP</t>
  </si>
  <si>
    <t xml:space="preserve">value, currency, product_id, product_type, trial, is_renewal, transaction_id, purchase_source</t>
  </si>
  <si>
    <t xml:space="preserve">paywall_view</t>
  </si>
  <si>
    <t xml:space="preserve">variant, trigger_placement</t>
  </si>
  <si>
    <t xml:space="preserve">paywall_start_trial_click</t>
  </si>
  <si>
    <t xml:space="preserve">variant</t>
  </si>
  <si>
    <t xml:space="preserve">paywall_dismiss</t>
  </si>
  <si>
    <t xml:space="preserve">Retention &amp; Push</t>
  </si>
  <si>
    <t xml:space="preserve">session_start_enriched</t>
  </si>
  <si>
    <t xml:space="preserve">segmentation</t>
  </si>
  <si>
    <t xml:space="preserve">session_number, user_ad_segment, rc_variant, ad_aggressiveness_tier</t>
  </si>
  <si>
    <t xml:space="preserve">app_open_resume</t>
  </si>
  <si>
    <t xml:space="preserve">retention</t>
  </si>
  <si>
    <t xml:space="preserve">was_ad_shown, suppressed_reason</t>
  </si>
  <si>
    <t xml:space="preserve">push_sent</t>
  </si>
  <si>
    <t xml:space="preserve">channel  (server-side)</t>
  </si>
  <si>
    <t xml:space="preserve">push_open</t>
  </si>
  <si>
    <t xml:space="preserve">channel, deep_link_target</t>
  </si>
  <si>
    <t xml:space="preserve">Failures &amp; Errors  (debug launch; separate "broke" from "lost interest")</t>
  </si>
  <si>
    <t xml:space="preserve">job_search_failed</t>
  </si>
  <si>
    <t xml:space="preserve">error</t>
  </si>
  <si>
    <t xml:space="preserve">error_type</t>
  </si>
  <si>
    <t xml:space="preserve">resume_upload_failed</t>
  </si>
  <si>
    <t xml:space="preserve">resume_optimize_failed</t>
  </si>
  <si>
    <t xml:space="preserve">mock_interview_failed</t>
  </si>
  <si>
    <t xml:space="preserve">copilot_answer_failed</t>
  </si>
  <si>
    <t xml:space="preserve">external_apply_failed</t>
  </si>
  <si>
    <t xml:space="preserve">file_picker_cancelled</t>
  </si>
  <si>
    <t xml:space="preserve">reason</t>
  </si>
  <si>
    <t xml:space="preserve">permission_result</t>
  </si>
  <si>
    <t xml:space="preserve">permission, granted</t>
  </si>
  <si>
    <t xml:space="preserve">Ad Lifecycle Diagnostics  (DEBUG — do NOT import to Google Ads as conversions)</t>
  </si>
  <si>
    <t xml:space="preserve">ad_request</t>
  </si>
  <si>
    <t xml:space="preserve">debug</t>
  </si>
  <si>
    <t xml:space="preserve">placement_id, ad_format</t>
  </si>
  <si>
    <t xml:space="preserve">ad_loaded</t>
  </si>
  <si>
    <t xml:space="preserve">placement_id, ad_format, ad_source</t>
  </si>
  <si>
    <t xml:space="preserve">ad_load_failed</t>
  </si>
  <si>
    <t xml:space="preserve">placement_id, ad_format, reason</t>
  </si>
  <si>
    <t xml:space="preserve">ad_show_attempt</t>
  </si>
  <si>
    <t xml:space="preserve">ad_show_failed</t>
  </si>
  <si>
    <t xml:space="preserve">placement_id, reason</t>
  </si>
  <si>
    <t xml:space="preserve">ad_suppressed</t>
  </si>
  <si>
    <t xml:space="preserve">placement_id, reason (mutex/paid/cooldown/segment)</t>
  </si>
  <si>
    <t xml:space="preserve">ad_dismissed</t>
  </si>
  <si>
    <t xml:space="preserve">Screens &amp; Rewarded Diagnostics</t>
  </si>
  <si>
    <t xml:space="preserve">screen_view</t>
  </si>
  <si>
    <t xml:space="preserve">screen_name, screen_class (home/jobs/job_detail/tracker/resume/resume_result/mock_interview/copilot/games/paywall)</t>
  </si>
  <si>
    <t xml:space="preserve">ad_reward_earned</t>
  </si>
  <si>
    <t xml:space="preserve">placement, reward_type — SDK says user EARNED reward</t>
  </si>
  <si>
    <t xml:space="preserve">ad_reward_granted</t>
  </si>
  <si>
    <t xml:space="preserve">placement, reward_type — app ACTUALLY unlocked the feature (earned w/o granted = bug)</t>
  </si>
  <si>
    <t xml:space="preserve">Bug Log</t>
  </si>
  <si>
    <t xml:space="preserve">English, single schema. Evidence link required. Status drives the rollup. Reopen until QC confirms.</t>
  </si>
  <si>
    <t xml:space="preserve">N°</t>
  </si>
  <si>
    <t xml:space="preserve">feature</t>
  </si>
  <si>
    <t xml:space="preserve">actual result</t>
  </si>
  <si>
    <t xml:space="preserve">description / video link</t>
  </si>
  <si>
    <t xml:space="preserve">dev feedback</t>
  </si>
  <si>
    <t xml:space="preserve">QC confirm</t>
  </si>
  <si>
    <t xml:space="preserve">build_type</t>
  </si>
  <si>
    <t xml:space="preserve">track</t>
  </si>
  <si>
    <t xml:space="preserve">rc_variant</t>
  </si>
  <si>
    <t xml:space="preserve">ad_tier</t>
  </si>
  <si>
    <t xml:space="preserve">Release History</t>
  </si>
  <si>
    <t xml:space="preserve">No release without the 9-point Monetization QA Gate passed on a production-signed AAB.</t>
  </si>
  <si>
    <t xml:space="preserve">version</t>
  </si>
  <si>
    <t xml:space="preserve">build type</t>
  </si>
  <si>
    <t xml:space="preserve">QA gate passed</t>
  </si>
  <si>
    <t xml:space="preserve">notes / changes</t>
  </si>
  <si>
    <t xml:space="preserve">AAB versionCode</t>
  </si>
  <si>
    <t xml:space="preserve">RC version</t>
  </si>
  <si>
    <t xml:space="preserve">ad_script version</t>
  </si>
  <si>
    <t xml:space="preserve">event_schema version</t>
  </si>
  <si>
    <t xml:space="preserve">QA owner</t>
  </si>
  <si>
    <t xml:space="preserve">approver</t>
  </si>
  <si>
    <t xml:space="preserve">Mediation Adapter QA</t>
  </si>
  <si>
    <t xml:space="preserve">Per-network readiness. You can pass placement QA while an adapter is half-wired — this tab prevents that. AdMob Mediation is sole owner.</t>
  </si>
  <si>
    <t xml:space="preserve">ad_source</t>
  </si>
  <si>
    <t xml:space="preserve">source_type</t>
  </si>
  <si>
    <t xml:space="preserve">intended_formats</t>
  </si>
  <si>
    <t xml:space="preserve">adapter_integrated</t>
  </si>
  <si>
    <t xml:space="preserve">adapter_version</t>
  </si>
  <si>
    <t xml:space="preserve">ad_source_optimization</t>
  </si>
  <si>
    <t xml:space="preserve">test_ad_received</t>
  </si>
  <si>
    <t xml:space="preserve">live_ad_received</t>
  </si>
  <si>
    <t xml:space="preserve">ILRD_source_verified</t>
  </si>
  <si>
    <t xml:space="preserve">no_fill_verified</t>
  </si>
  <si>
    <t xml:space="preserve">geo group</t>
  </si>
  <si>
    <t xml:space="preserve">evidence</t>
  </si>
  <si>
    <t xml:space="preserve">verified_in_admob_ui</t>
  </si>
  <si>
    <t xml:space="preserve">AdMob Network</t>
  </si>
  <si>
    <t xml:space="preserve">waterfall</t>
  </si>
  <si>
    <t xml:space="preserve">native/inter/rewarded/app_open/banner</t>
  </si>
  <si>
    <t xml:space="preserve">[ver]</t>
  </si>
  <si>
    <t xml:space="preserve">ON</t>
  </si>
  <si>
    <t xml:space="preserve">[link]</t>
  </si>
  <si>
    <t xml:space="preserve">Pangle</t>
  </si>
  <si>
    <t xml:space="preserve">bidding</t>
  </si>
  <si>
    <t xml:space="preserve">native/inter/rewarded/app_open</t>
  </si>
  <si>
    <t xml:space="preserve">n/a (bidding)</t>
  </si>
  <si>
    <t xml:space="preserve">Mintegral</t>
  </si>
  <si>
    <t xml:space="preserve">AppLovin</t>
  </si>
  <si>
    <t xml:space="preserve">native/inter/rewarded</t>
  </si>
  <si>
    <t xml:space="preserve">Liftoff Monetize</t>
  </si>
  <si>
    <t xml:space="preserve">inter/rewarded</t>
  </si>
  <si>
    <t xml:space="preserve">Consent + Policy QA</t>
  </si>
  <si>
    <t xml:space="preserve">Resumes + microphone + ads + analytics all need clean disclosure even with no login. Most are launch blockers.</t>
  </si>
  <si>
    <t xml:space="preserve">item</t>
  </si>
  <si>
    <t xml:space="preserve">requirement</t>
  </si>
  <si>
    <t xml:space="preserve">gate</t>
  </si>
  <si>
    <t xml:space="preserve">evidence / link</t>
  </si>
  <si>
    <t xml:space="preserve">Privacy policy URL live</t>
  </si>
  <si>
    <t xml:space="preserve">Reachable public URL; linked in app + store</t>
  </si>
  <si>
    <t xml:space="preserve">Fayyaz</t>
  </si>
  <si>
    <t xml:space="preserve">Terms of use URL live</t>
  </si>
  <si>
    <t xml:space="preserve">Reachable public URL</t>
  </si>
  <si>
    <t xml:space="preserve">Play Data Safety form</t>
  </si>
  <si>
    <t xml:space="preserve">Completed + accurate (resume files, audio, ad data)</t>
  </si>
  <si>
    <t xml:space="preserve">Ads declaration</t>
  </si>
  <si>
    <t xml:space="preserve">"Contains ads" declared in Play Console</t>
  </si>
  <si>
    <t xml:space="preserve">Advertising ID permission</t>
  </si>
  <si>
    <t xml:space="preserve">com.google.android.gms.permission.AD_ID declared (Android 13+)</t>
  </si>
  <si>
    <t xml:space="preserve">Published on developer domain; verified in Play</t>
  </si>
  <si>
    <t xml:space="preserve">UMP / Google-certified CMP</t>
  </si>
  <si>
    <t xml:space="preserve">Required for EEA + UK + Switzerland before serving PERSONALIZED ads (IAB TCF). Ship the UMP SDK GLOBALLY; it decides per region whether to show the form. Brazil/South Africa are NOT under this certified-CMP mandate.</t>
  </si>
  <si>
    <t xml:space="preserve">EEA / UK / Switzerland consent (GDPR/TCF)</t>
  </si>
  <si>
    <t xml:space="preserve">Consent gathered via certified CMP before personalized ads in EEA/UK/CH. canRequestAds() stays false until consent info update runs.</t>
  </si>
  <si>
    <t xml:space="preserve">US state privacy</t>
  </si>
  <si>
    <t xml:space="preserve">US state laws (CCPA etc.) — handle via privacy options / Google settings. Separate from EEA TCF consent; NOT a certified-CMP gate.</t>
  </si>
  <si>
    <t xml:space="preserve">Target audience / children</t>
  </si>
  <si>
    <t xml:space="preserve">Declared NOT child-directed; no neg. targeting of minors</t>
  </si>
  <si>
    <t xml:space="preserve">Microphone disclosure</t>
  </si>
  <si>
    <t xml:space="preserve">In-app + store disclosure for copilot/mock audio</t>
  </si>
  <si>
    <t xml:space="preserve">Resume/document disclosure</t>
  </si>
  <si>
    <t xml:space="preserve">Disclose resume upload + AI processing + retention</t>
  </si>
  <si>
    <t xml:space="preserve">AI-generated content disclosure</t>
  </si>
  <si>
    <t xml:space="preserve">Disclose resume/cover/interview content is AI-assisted</t>
  </si>
  <si>
    <t xml:space="preserve">Data deletion / support route</t>
  </si>
  <si>
    <t xml:space="preserve">Working contact + deletion request path</t>
  </si>
  <si>
    <t xml:space="preserve">Pre-launch report</t>
  </si>
  <si>
    <t xml:space="preserve">Reviewed Play pre-launch report (crashes, policy, perf)</t>
  </si>
  <si>
    <t xml:space="preserve">Launch geos confirmed</t>
  </si>
  <si>
    <t xml:space="preserve">Determines UMP/GDPR + US-state privacy urgency (US-only vs worldwide vs EEA/UK)</t>
  </si>
  <si>
    <t xml:space="preserve">Worldwide incl. EEA/UK — CONFIRMED</t>
  </si>
  <si>
    <t xml:space="preserve">Brazil — LGPD</t>
  </si>
  <si>
    <t xml:space="preserve">Privacy policy + lawful data handling (resume/audio/ads). NOT the EEA certified-CMP/TCF gate. Required only if launching in BR.</t>
  </si>
  <si>
    <t xml:space="preserve">South Africa — POPIA</t>
  </si>
  <si>
    <t xml:space="preserve">Privacy policy + lawful data handling. NOT the EEA certified-CMP/TCF gate. Required only if launching in ZA.</t>
  </si>
  <si>
    <t xml:space="preserve">UMP implementation behavior (region-gated, globally shipped)</t>
  </si>
  <si>
    <t xml:space="preserve">• On EVERY app launch: call requestConsentInfoUpdate() to check if consent is required + if a privacy-options entry is needed.</t>
  </si>
  <si>
    <t xml:space="preserve">• canRequestAds() stays FALSE until the consent info update has run — do NOT request/initialize ads before it resolves.</t>
  </si>
  <si>
    <t xml:space="preserve">• Call loadAndShowConsentFormIfRequired() — the form shows ONLY where required (EEA/UK/CH). Elsewhere it no-ops and ads proceed.</t>
  </si>
  <si>
    <t xml:space="preserve">• If privacy options are required, add a persistent "Privacy options" entry in Settings.</t>
  </si>
  <si>
    <t xml:space="preserve">• Gate ad SDK init / first ad request behind canRequestAds() == true. This is an ad-init rule, not just a legal checkbox.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</si>
</sst>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F3F3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2E5C8A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F3F3F"/>
      </patternFill>
    </fill>
    <fill>
      <patternFill patternType="solid">
        <fgColor rgb="FFDCE6F1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5C8A"/>
        <bgColor rgb="FF4472A4"/>
      </patternFill>
    </fill>
    <fill>
      <patternFill patternType="solid">
        <fgColor rgb="FFE2EFDA"/>
        <bgColor rgb="FFDCE6F1"/>
      </patternFill>
    </fill>
    <fill>
      <patternFill patternType="solid">
        <fgColor rgb="FFF2F2F2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4472A4"/>
        <bgColor rgb="FF2E5C8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bottom" textRotation="0" wrapText="true" indent="1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472A4"/>
      <rgbColor rgb="FF969696"/>
      <rgbColor rgb="FF1F3A5F"/>
      <rgbColor rgb="FF339966"/>
      <rgbColor rgb="FF003300"/>
      <rgbColor rgb="FF333300"/>
      <rgbColor rgb="FF993300"/>
      <rgbColor rgb="FF993366"/>
      <rgbColor rgb="FF2E5C8A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0"/>
  </cols>
  <sheetData>
    <row r="1" customFormat="false" ht="33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3" customFormat="false" ht="6" hidden="false" customHeight="true" outlineLevel="0" collapsed="false"/>
    <row r="4" customFormat="false" ht="19.5" hidden="false" customHeight="true" outlineLevel="0" collapsed="false">
      <c r="B4" s="4" t="s">
        <v>2</v>
      </c>
    </row>
    <row r="5" customFormat="false" ht="45.75" hidden="false" customHeight="true" outlineLevel="0" collapsed="false">
      <c r="B5" s="5" t="s">
        <v>3</v>
      </c>
    </row>
    <row r="6" customFormat="false" ht="6" hidden="false" customHeight="true" outlineLevel="0" collapsed="false"/>
    <row r="7" customFormat="false" ht="19.5" hidden="false" customHeight="true" outlineLevel="0" collapsed="false">
      <c r="B7" s="4" t="s">
        <v>4</v>
      </c>
    </row>
    <row r="8" customFormat="false" ht="45.75" hidden="false" customHeight="true" outlineLevel="0" collapsed="false">
      <c r="B8" s="5" t="s">
        <v>5</v>
      </c>
    </row>
    <row r="9" customFormat="false" ht="6" hidden="false" customHeight="true" outlineLevel="0" collapsed="false"/>
    <row r="10" customFormat="false" ht="19.5" hidden="false" customHeight="true" outlineLevel="0" collapsed="false">
      <c r="B10" s="4" t="s">
        <v>6</v>
      </c>
    </row>
    <row r="11" customFormat="false" ht="30" hidden="false" customHeight="true" outlineLevel="0" collapsed="false">
      <c r="A11" s="6" t="s">
        <v>7</v>
      </c>
      <c r="B11" s="5" t="s">
        <v>8</v>
      </c>
    </row>
    <row r="12" customFormat="false" ht="30" hidden="false" customHeight="true" outlineLevel="0" collapsed="false">
      <c r="A12" s="6" t="s">
        <v>9</v>
      </c>
      <c r="B12" s="5" t="s">
        <v>10</v>
      </c>
    </row>
    <row r="13" customFormat="false" ht="30" hidden="false" customHeight="true" outlineLevel="0" collapsed="false">
      <c r="A13" s="6" t="s">
        <v>11</v>
      </c>
      <c r="B13" s="5" t="s">
        <v>12</v>
      </c>
    </row>
    <row r="14" customFormat="false" ht="30" hidden="false" customHeight="true" outlineLevel="0" collapsed="false">
      <c r="A14" s="6" t="s">
        <v>13</v>
      </c>
      <c r="B14" s="5" t="s">
        <v>14</v>
      </c>
    </row>
    <row r="15" customFormat="false" ht="30" hidden="false" customHeight="true" outlineLevel="0" collapsed="false">
      <c r="A15" s="6" t="s">
        <v>15</v>
      </c>
      <c r="B15" s="5" t="s">
        <v>16</v>
      </c>
    </row>
    <row r="16" customFormat="false" ht="30" hidden="false" customHeight="true" outlineLevel="0" collapsed="false">
      <c r="A16" s="6" t="s">
        <v>17</v>
      </c>
      <c r="B16" s="5" t="s">
        <v>18</v>
      </c>
    </row>
    <row r="17" customFormat="false" ht="30" hidden="false" customHeight="true" outlineLevel="0" collapsed="false">
      <c r="A17" s="6" t="s">
        <v>19</v>
      </c>
      <c r="B17" s="5" t="s">
        <v>20</v>
      </c>
    </row>
    <row r="18" customFormat="false" ht="30" hidden="false" customHeight="true" outlineLevel="0" collapsed="false">
      <c r="A18" s="6" t="s">
        <v>21</v>
      </c>
      <c r="B18" s="5" t="s">
        <v>22</v>
      </c>
    </row>
    <row r="19" customFormat="false" ht="30" hidden="false" customHeight="true" outlineLevel="0" collapsed="false">
      <c r="A19" s="6" t="s">
        <v>23</v>
      </c>
      <c r="B19" s="5" t="s">
        <v>24</v>
      </c>
    </row>
    <row r="20" customFormat="false" ht="19.5" hidden="false" customHeight="true" outlineLevel="0" collapsed="false"/>
    <row r="21" customFormat="false" ht="45.75" hidden="false" customHeight="true" outlineLevel="0" collapsed="false">
      <c r="B21" s="4" t="s">
        <v>25</v>
      </c>
    </row>
    <row r="22" customFormat="false" ht="6" hidden="false" customHeight="true" outlineLevel="0" collapsed="false">
      <c r="B22" s="5" t="s">
        <v>26</v>
      </c>
    </row>
    <row r="23" customFormat="false" ht="19.5" hidden="false" customHeight="true" outlineLevel="0" collapsed="false"/>
    <row r="24" customFormat="false" ht="45.75" hidden="false" customHeight="true" outlineLevel="0" collapsed="false">
      <c r="B24" s="4" t="s">
        <v>27</v>
      </c>
    </row>
    <row r="25" customFormat="false" ht="15" hidden="false" customHeight="true" outlineLevel="0" collapsed="false">
      <c r="B25" s="5" t="s">
        <v>28</v>
      </c>
    </row>
    <row r="27" customFormat="false" ht="21.75" hidden="false" customHeight="true" outlineLevel="0" collapsed="false">
      <c r="B27" s="7" t="s">
        <v>29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2"/>
  </cols>
  <sheetData>
    <row r="1" customFormat="false" ht="33.75" hidden="false" customHeight="true" outlineLevel="0" collapsed="false">
      <c r="A1" s="8" t="s">
        <v>30</v>
      </c>
      <c r="B1" s="8"/>
    </row>
    <row r="2" customFormat="false" ht="15" hidden="false" customHeight="true" outlineLevel="0" collapsed="false">
      <c r="A2" s="9" t="s">
        <v>31</v>
      </c>
      <c r="B2" s="9"/>
    </row>
    <row r="4" customFormat="false" ht="27.75" hidden="false" customHeight="true" outlineLevel="0" collapsed="false">
      <c r="A4" s="10" t="s">
        <v>32</v>
      </c>
      <c r="B4" s="11" t="s">
        <v>33</v>
      </c>
    </row>
    <row r="5" customFormat="false" ht="27.75" hidden="false" customHeight="true" outlineLevel="0" collapsed="false">
      <c r="A5" s="10" t="s">
        <v>34</v>
      </c>
      <c r="B5" s="11" t="s">
        <v>35</v>
      </c>
    </row>
    <row r="6" customFormat="false" ht="27.75" hidden="false" customHeight="true" outlineLevel="0" collapsed="false">
      <c r="A6" s="10" t="s">
        <v>36</v>
      </c>
      <c r="B6" s="11" t="s">
        <v>37</v>
      </c>
    </row>
    <row r="7" customFormat="false" ht="27.75" hidden="false" customHeight="true" outlineLevel="0" collapsed="false">
      <c r="A7" s="10" t="s">
        <v>38</v>
      </c>
      <c r="B7" s="11" t="s">
        <v>39</v>
      </c>
    </row>
    <row r="8" customFormat="false" ht="27.75" hidden="false" customHeight="true" outlineLevel="0" collapsed="false">
      <c r="A8" s="10" t="s">
        <v>40</v>
      </c>
      <c r="B8" s="11" t="s">
        <v>41</v>
      </c>
    </row>
    <row r="9" customFormat="false" ht="27.75" hidden="false" customHeight="true" outlineLevel="0" collapsed="false">
      <c r="A9" s="10" t="s">
        <v>42</v>
      </c>
      <c r="B9" s="11" t="s">
        <v>43</v>
      </c>
    </row>
    <row r="10" customFormat="false" ht="27.75" hidden="false" customHeight="true" outlineLevel="0" collapsed="false">
      <c r="A10" s="10" t="s">
        <v>44</v>
      </c>
      <c r="B10" s="11" t="s">
        <v>45</v>
      </c>
    </row>
    <row r="11" customFormat="false" ht="27.75" hidden="false" customHeight="true" outlineLevel="0" collapsed="false">
      <c r="A11" s="10" t="s">
        <v>46</v>
      </c>
      <c r="B11" s="11" t="s">
        <v>47</v>
      </c>
    </row>
    <row r="12" customFormat="false" ht="27.75" hidden="false" customHeight="true" outlineLevel="0" collapsed="false">
      <c r="A12" s="10" t="s">
        <v>48</v>
      </c>
      <c r="B12" s="11" t="s">
        <v>49</v>
      </c>
    </row>
    <row r="13" customFormat="false" ht="27.75" hidden="false" customHeight="true" outlineLevel="0" collapsed="false">
      <c r="A13" s="10" t="s">
        <v>50</v>
      </c>
      <c r="B13" s="11" t="s">
        <v>51</v>
      </c>
    </row>
    <row r="14" customFormat="false" ht="27.75" hidden="false" customHeight="true" outlineLevel="0" collapsed="false">
      <c r="A14" s="10" t="s">
        <v>52</v>
      </c>
      <c r="B14" s="11" t="s">
        <v>53</v>
      </c>
    </row>
    <row r="15" customFormat="false" ht="27.75" hidden="false" customHeight="true" outlineLevel="0" collapsed="false">
      <c r="A15" s="10" t="s">
        <v>54</v>
      </c>
      <c r="B15" s="11" t="s">
        <v>55</v>
      </c>
    </row>
    <row r="16" customFormat="false" ht="27.75" hidden="false" customHeight="true" outlineLevel="0" collapsed="false">
      <c r="A16" s="10" t="s">
        <v>56</v>
      </c>
      <c r="B16" s="11" t="s">
        <v>57</v>
      </c>
    </row>
    <row r="17" customFormat="false" ht="27.75" hidden="false" customHeight="true" outlineLevel="0" collapsed="false">
      <c r="A17" s="10" t="s">
        <v>58</v>
      </c>
      <c r="B17" s="11" t="s">
        <v>59</v>
      </c>
    </row>
    <row r="18" customFormat="false" ht="27.75" hidden="false" customHeight="true" outlineLevel="0" collapsed="false">
      <c r="A18" s="12" t="s">
        <v>60</v>
      </c>
      <c r="B18" s="11" t="s">
        <v>61</v>
      </c>
    </row>
    <row r="19" customFormat="false" ht="27.75" hidden="false" customHeight="true" outlineLevel="0" collapsed="false">
      <c r="A19" s="10" t="s">
        <v>62</v>
      </c>
      <c r="B19" s="11" t="s">
        <v>63</v>
      </c>
    </row>
    <row r="20" customFormat="false" ht="27.75" hidden="false" customHeight="true" outlineLevel="0" collapsed="false">
      <c r="A20" s="12" t="s">
        <v>64</v>
      </c>
      <c r="B20" s="11" t="s">
        <v>65</v>
      </c>
    </row>
    <row r="21" customFormat="false" ht="27.75" hidden="false" customHeight="true" outlineLevel="0" collapsed="false">
      <c r="A21" s="10" t="s">
        <v>66</v>
      </c>
      <c r="B21" s="11" t="s">
        <v>67</v>
      </c>
    </row>
    <row r="22" customFormat="false" ht="27.75" hidden="false" customHeight="true" outlineLevel="0" collapsed="false">
      <c r="A22" s="12" t="s">
        <v>68</v>
      </c>
      <c r="B22" s="11" t="s">
        <v>69</v>
      </c>
    </row>
    <row r="23" customFormat="false" ht="27.75" hidden="false" customHeight="true" outlineLevel="0" collapsed="false">
      <c r="A23" s="10" t="s">
        <v>70</v>
      </c>
      <c r="B23" s="11" t="s">
        <v>71</v>
      </c>
    </row>
    <row r="24" customFormat="false" ht="27.75" hidden="false" customHeight="true" outlineLevel="0" collapsed="false">
      <c r="A24" s="12" t="s">
        <v>60</v>
      </c>
      <c r="B24" s="11" t="s">
        <v>72</v>
      </c>
    </row>
    <row r="25" customFormat="false" ht="27.75" hidden="false" customHeight="true" outlineLevel="0" collapsed="false">
      <c r="A25" s="12" t="s">
        <v>60</v>
      </c>
      <c r="B25" s="11" t="s">
        <v>73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52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26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6"/>
  </cols>
  <sheetData>
    <row r="1" customFormat="false" ht="33.7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75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13" t="s">
        <v>76</v>
      </c>
      <c r="B3" s="13" t="s">
        <v>77</v>
      </c>
      <c r="C3" s="13" t="s">
        <v>78</v>
      </c>
      <c r="D3" s="13" t="s">
        <v>79</v>
      </c>
      <c r="E3" s="13" t="s">
        <v>80</v>
      </c>
      <c r="F3" s="13" t="s">
        <v>81</v>
      </c>
      <c r="G3" s="13" t="s">
        <v>82</v>
      </c>
      <c r="H3" s="13" t="s">
        <v>83</v>
      </c>
      <c r="I3" s="13" t="s">
        <v>84</v>
      </c>
    </row>
    <row r="4" customFormat="false" ht="15" hidden="false" customHeight="true" outlineLevel="0" collapsed="false">
      <c r="A4" s="14" t="s">
        <v>85</v>
      </c>
      <c r="B4" s="14" t="s">
        <v>86</v>
      </c>
      <c r="C4" s="14" t="s">
        <v>87</v>
      </c>
      <c r="D4" s="14" t="s">
        <v>88</v>
      </c>
      <c r="E4" s="15" t="s">
        <v>89</v>
      </c>
      <c r="F4" s="14" t="s">
        <v>90</v>
      </c>
      <c r="G4" s="14" t="s">
        <v>91</v>
      </c>
      <c r="H4" s="15" t="s">
        <v>89</v>
      </c>
      <c r="I4" s="16" t="s">
        <v>92</v>
      </c>
    </row>
    <row r="5" customFormat="false" ht="21.75" hidden="false" customHeight="true" outlineLevel="0" collapsed="false">
      <c r="A5" s="14" t="s">
        <v>7</v>
      </c>
      <c r="B5" s="14" t="s">
        <v>93</v>
      </c>
      <c r="C5" s="14" t="s">
        <v>94</v>
      </c>
      <c r="D5" s="14" t="s">
        <v>88</v>
      </c>
      <c r="E5" s="15" t="s">
        <v>89</v>
      </c>
      <c r="F5" s="14" t="s">
        <v>95</v>
      </c>
      <c r="G5" s="14" t="s">
        <v>91</v>
      </c>
      <c r="H5" s="15" t="s">
        <v>89</v>
      </c>
      <c r="I5" s="16" t="s">
        <v>92</v>
      </c>
    </row>
    <row r="6" customFormat="false" ht="21.75" hidden="false" customHeight="true" outlineLevel="0" collapsed="false">
      <c r="A6" s="14" t="s">
        <v>9</v>
      </c>
      <c r="B6" s="14" t="s">
        <v>96</v>
      </c>
      <c r="C6" s="14" t="s">
        <v>97</v>
      </c>
      <c r="D6" s="14" t="s">
        <v>88</v>
      </c>
      <c r="E6" s="15" t="s">
        <v>89</v>
      </c>
      <c r="F6" s="14" t="s">
        <v>98</v>
      </c>
      <c r="G6" s="14" t="s">
        <v>91</v>
      </c>
      <c r="H6" s="15" t="s">
        <v>89</v>
      </c>
      <c r="I6" s="16" t="s">
        <v>92</v>
      </c>
    </row>
    <row r="7" customFormat="false" ht="15" hidden="false" customHeight="true" outlineLevel="0" collapsed="false">
      <c r="A7" s="14" t="s">
        <v>11</v>
      </c>
      <c r="B7" s="14" t="s">
        <v>99</v>
      </c>
      <c r="C7" s="14" t="s">
        <v>100</v>
      </c>
      <c r="D7" s="14" t="s">
        <v>101</v>
      </c>
      <c r="E7" s="15" t="s">
        <v>89</v>
      </c>
      <c r="F7" s="14" t="s">
        <v>102</v>
      </c>
      <c r="G7" s="14" t="s">
        <v>91</v>
      </c>
      <c r="H7" s="15" t="s">
        <v>89</v>
      </c>
      <c r="I7" s="16" t="s">
        <v>92</v>
      </c>
    </row>
    <row r="8" customFormat="false" ht="21.75" hidden="false" customHeight="true" outlineLevel="0" collapsed="false">
      <c r="A8" s="14" t="s">
        <v>13</v>
      </c>
      <c r="B8" s="14" t="s">
        <v>103</v>
      </c>
      <c r="C8" s="14" t="s">
        <v>104</v>
      </c>
      <c r="D8" s="14" t="s">
        <v>88</v>
      </c>
      <c r="E8" s="15" t="s">
        <v>89</v>
      </c>
      <c r="F8" s="14" t="s">
        <v>105</v>
      </c>
      <c r="G8" s="14" t="s">
        <v>91</v>
      </c>
      <c r="H8" s="15" t="s">
        <v>89</v>
      </c>
      <c r="I8" s="16" t="s">
        <v>92</v>
      </c>
    </row>
    <row r="9" customFormat="false" ht="21.75" hidden="false" customHeight="true" outlineLevel="0" collapsed="false">
      <c r="A9" s="14" t="s">
        <v>15</v>
      </c>
      <c r="B9" s="14" t="s">
        <v>106</v>
      </c>
      <c r="C9" s="14" t="s">
        <v>107</v>
      </c>
      <c r="D9" s="14" t="s">
        <v>88</v>
      </c>
      <c r="E9" s="15" t="s">
        <v>89</v>
      </c>
      <c r="F9" s="14" t="s">
        <v>108</v>
      </c>
      <c r="G9" s="14" t="s">
        <v>91</v>
      </c>
      <c r="H9" s="15" t="s">
        <v>89</v>
      </c>
      <c r="I9" s="16" t="s">
        <v>92</v>
      </c>
    </row>
    <row r="10" customFormat="false" ht="21.75" hidden="false" customHeight="true" outlineLevel="0" collapsed="false">
      <c r="A10" s="14" t="s">
        <v>17</v>
      </c>
      <c r="B10" s="14" t="s">
        <v>109</v>
      </c>
      <c r="C10" s="14" t="s">
        <v>110</v>
      </c>
      <c r="D10" s="14" t="s">
        <v>88</v>
      </c>
      <c r="E10" s="15" t="s">
        <v>89</v>
      </c>
      <c r="F10" s="14" t="s">
        <v>111</v>
      </c>
      <c r="G10" s="14" t="s">
        <v>91</v>
      </c>
      <c r="H10" s="15" t="s">
        <v>89</v>
      </c>
      <c r="I10" s="16" t="s">
        <v>92</v>
      </c>
    </row>
    <row r="11" customFormat="false" ht="15" hidden="false" customHeight="true" outlineLevel="0" collapsed="false">
      <c r="A11" s="14" t="s">
        <v>19</v>
      </c>
      <c r="B11" s="14" t="s">
        <v>112</v>
      </c>
      <c r="C11" s="14" t="s">
        <v>113</v>
      </c>
      <c r="D11" s="14" t="s">
        <v>88</v>
      </c>
      <c r="E11" s="15" t="s">
        <v>89</v>
      </c>
      <c r="F11" s="14" t="s">
        <v>114</v>
      </c>
      <c r="G11" s="14" t="s">
        <v>91</v>
      </c>
      <c r="H11" s="15" t="s">
        <v>89</v>
      </c>
      <c r="I11" s="16" t="s">
        <v>92</v>
      </c>
    </row>
    <row r="12" customFormat="false" ht="15" hidden="false" customHeight="true" outlineLevel="0" collapsed="false">
      <c r="A12" s="14" t="s">
        <v>21</v>
      </c>
      <c r="B12" s="14" t="s">
        <v>115</v>
      </c>
      <c r="C12" s="14" t="s">
        <v>116</v>
      </c>
      <c r="D12" s="14" t="s">
        <v>88</v>
      </c>
      <c r="E12" s="15" t="s">
        <v>89</v>
      </c>
      <c r="F12" s="14" t="s">
        <v>117</v>
      </c>
      <c r="G12" s="14" t="s">
        <v>91</v>
      </c>
      <c r="H12" s="15" t="s">
        <v>89</v>
      </c>
      <c r="I12" s="16" t="s">
        <v>92</v>
      </c>
    </row>
    <row r="13" customFormat="false" ht="21.75" hidden="false" customHeight="true" outlineLevel="0" collapsed="false">
      <c r="A13" s="14" t="s">
        <v>23</v>
      </c>
      <c r="B13" s="14" t="s">
        <v>118</v>
      </c>
      <c r="C13" s="14" t="s">
        <v>119</v>
      </c>
      <c r="D13" s="14" t="s">
        <v>120</v>
      </c>
      <c r="E13" s="15" t="s">
        <v>89</v>
      </c>
      <c r="F13" s="14" t="s">
        <v>121</v>
      </c>
      <c r="G13" s="14" t="s">
        <v>91</v>
      </c>
      <c r="H13" s="15" t="s">
        <v>89</v>
      </c>
      <c r="I13" s="11" t="s">
        <v>122</v>
      </c>
    </row>
    <row r="14" customFormat="false" ht="15" hidden="false" customHeight="true" outlineLevel="0" collapsed="false">
      <c r="A14" s="14" t="s">
        <v>123</v>
      </c>
      <c r="B14" s="14" t="s">
        <v>124</v>
      </c>
      <c r="C14" s="14" t="s">
        <v>125</v>
      </c>
      <c r="D14" s="14" t="s">
        <v>88</v>
      </c>
      <c r="E14" s="15" t="s">
        <v>89</v>
      </c>
      <c r="F14" s="14" t="s">
        <v>126</v>
      </c>
      <c r="G14" s="14" t="s">
        <v>91</v>
      </c>
      <c r="H14" s="15" t="s">
        <v>89</v>
      </c>
      <c r="I14" s="16" t="s">
        <v>92</v>
      </c>
    </row>
    <row r="15" customFormat="false" ht="15" hidden="false" customHeight="true" outlineLevel="0" collapsed="false">
      <c r="A15" s="14" t="s">
        <v>127</v>
      </c>
      <c r="B15" s="14" t="s">
        <v>128</v>
      </c>
      <c r="C15" s="14" t="s">
        <v>129</v>
      </c>
      <c r="D15" s="14" t="s">
        <v>88</v>
      </c>
      <c r="E15" s="15" t="s">
        <v>89</v>
      </c>
      <c r="F15" s="14" t="s">
        <v>128</v>
      </c>
      <c r="G15" s="14" t="s">
        <v>91</v>
      </c>
      <c r="H15" s="15" t="s">
        <v>89</v>
      </c>
      <c r="I15" s="16" t="s">
        <v>92</v>
      </c>
    </row>
    <row r="16" customFormat="false" ht="21.75" hidden="false" customHeight="true" outlineLevel="0" collapsed="false">
      <c r="A16" s="14" t="s">
        <v>130</v>
      </c>
      <c r="B16" s="14" t="s">
        <v>131</v>
      </c>
      <c r="C16" s="14" t="s">
        <v>132</v>
      </c>
      <c r="D16" s="14" t="s">
        <v>88</v>
      </c>
      <c r="E16" s="15" t="s">
        <v>89</v>
      </c>
      <c r="F16" s="14" t="s">
        <v>133</v>
      </c>
      <c r="G16" s="14" t="s">
        <v>91</v>
      </c>
      <c r="H16" s="15" t="s">
        <v>89</v>
      </c>
      <c r="I16" s="11" t="s">
        <v>122</v>
      </c>
    </row>
    <row r="17" customFormat="false" ht="15" hidden="false" customHeight="true" outlineLevel="0" collapsed="false">
      <c r="A17" s="14" t="s">
        <v>134</v>
      </c>
      <c r="B17" s="14" t="s">
        <v>135</v>
      </c>
      <c r="C17" s="14" t="s">
        <v>136</v>
      </c>
      <c r="D17" s="14" t="s">
        <v>88</v>
      </c>
      <c r="E17" s="15" t="s">
        <v>89</v>
      </c>
      <c r="F17" s="14" t="s">
        <v>137</v>
      </c>
      <c r="G17" s="14" t="s">
        <v>91</v>
      </c>
      <c r="H17" s="15" t="s">
        <v>89</v>
      </c>
      <c r="I17" s="16" t="s">
        <v>92</v>
      </c>
    </row>
    <row r="18" customFormat="false" ht="15" hidden="false" customHeight="true" outlineLevel="0" collapsed="false">
      <c r="A18" s="14" t="s">
        <v>138</v>
      </c>
      <c r="B18" s="14" t="s">
        <v>139</v>
      </c>
      <c r="C18" s="14" t="s">
        <v>140</v>
      </c>
      <c r="D18" s="14" t="s">
        <v>141</v>
      </c>
      <c r="E18" s="15" t="s">
        <v>142</v>
      </c>
      <c r="F18" s="14" t="s">
        <v>141</v>
      </c>
      <c r="G18" s="14" t="s">
        <v>91</v>
      </c>
      <c r="H18" s="15" t="s">
        <v>89</v>
      </c>
      <c r="I18" s="11" t="s">
        <v>143</v>
      </c>
    </row>
    <row r="19" customFormat="false" ht="15" hidden="false" customHeight="true" outlineLevel="0" collapsed="false">
      <c r="A19" s="14" t="s">
        <v>144</v>
      </c>
      <c r="B19" s="14" t="s">
        <v>145</v>
      </c>
      <c r="C19" s="14" t="s">
        <v>146</v>
      </c>
      <c r="D19" s="14" t="s">
        <v>120</v>
      </c>
      <c r="E19" s="15" t="s">
        <v>89</v>
      </c>
      <c r="F19" s="14" t="s">
        <v>147</v>
      </c>
      <c r="G19" s="14" t="s">
        <v>91</v>
      </c>
      <c r="H19" s="15" t="s">
        <v>89</v>
      </c>
      <c r="I19" s="11" t="s">
        <v>122</v>
      </c>
    </row>
    <row r="20" customFormat="false" ht="21.75" hidden="false" customHeight="true" outlineLevel="0" collapsed="false">
      <c r="A20" s="14" t="s">
        <v>148</v>
      </c>
      <c r="B20" s="14" t="s">
        <v>149</v>
      </c>
      <c r="C20" s="14" t="s">
        <v>150</v>
      </c>
      <c r="D20" s="14" t="s">
        <v>151</v>
      </c>
      <c r="E20" s="15" t="s">
        <v>89</v>
      </c>
      <c r="F20" s="14" t="s">
        <v>152</v>
      </c>
      <c r="G20" s="14" t="s">
        <v>91</v>
      </c>
      <c r="H20" s="15" t="s">
        <v>89</v>
      </c>
      <c r="I20" s="16" t="s">
        <v>92</v>
      </c>
    </row>
    <row r="21" customFormat="false" ht="15" hidden="false" customHeight="true" outlineLevel="0" collapsed="false">
      <c r="A21" s="14" t="s">
        <v>153</v>
      </c>
      <c r="B21" s="14" t="s">
        <v>154</v>
      </c>
      <c r="C21" s="14" t="s">
        <v>155</v>
      </c>
      <c r="D21" s="14" t="s">
        <v>156</v>
      </c>
      <c r="E21" s="15" t="s">
        <v>89</v>
      </c>
      <c r="F21" s="14" t="s">
        <v>157</v>
      </c>
      <c r="G21" s="14" t="s">
        <v>91</v>
      </c>
      <c r="H21" s="15" t="s">
        <v>89</v>
      </c>
      <c r="I21" s="11" t="s">
        <v>122</v>
      </c>
    </row>
    <row r="22" customFormat="false" ht="15" hidden="false" customHeight="true" outlineLevel="0" collapsed="false">
      <c r="A22" s="14" t="s">
        <v>158</v>
      </c>
      <c r="B22" s="14" t="s">
        <v>159</v>
      </c>
      <c r="C22" s="14" t="s">
        <v>160</v>
      </c>
      <c r="D22" s="14" t="s">
        <v>156</v>
      </c>
      <c r="E22" s="15" t="s">
        <v>89</v>
      </c>
      <c r="F22" s="14" t="s">
        <v>161</v>
      </c>
      <c r="G22" s="14" t="s">
        <v>91</v>
      </c>
      <c r="H22" s="15" t="s">
        <v>89</v>
      </c>
      <c r="I22" s="16" t="s">
        <v>92</v>
      </c>
    </row>
  </sheetData>
  <mergeCells count="2">
    <mergeCell ref="A1:H1"/>
    <mergeCell ref="A2:H2"/>
  </mergeCells>
  <dataValidations count="4">
    <dataValidation allowBlank="true" errorStyle="stop" operator="between" showDropDown="false" showErrorMessage="false" showInputMessage="false" sqref="E4:E22" type="list">
      <formula1>"Pass,Done,Pending,Blocked,N/A"</formula1>
      <formula2>0</formula2>
    </dataValidation>
    <dataValidation allowBlank="true" errorStyle="stop" operator="between" showDropDown="false" showErrorMessage="false" showInputMessage="false" sqref="H4:H22" type="list">
      <formula1>"Pass,Pending,Fail,N/A"</formula1>
      <formula2>0</formula2>
    </dataValidation>
    <dataValidation allowBlank="true" errorStyle="stop" operator="between" showDropDown="false" showErrorMessage="false" showInputMessage="false" sqref="I4:I21" type="list">
      <formula1>"Launch blocker,Scale blocker,Nice-to-have"</formula1>
      <formula2>0</formula2>
    </dataValidation>
    <dataValidation allowBlank="true" errorStyle="stop" operator="between" showDropDown="false" showErrorMessage="false" showInputMessage="false" sqref="I22" type="list">
      <formula1>"Launch blocker,Scale blocker,Nice-to-have"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13" min="9" style="1" width="16"/>
    <col collapsed="false" customWidth="true" hidden="false" outlineLevel="0" max="14" min="14" style="1" width="11"/>
    <col collapsed="false" customWidth="true" hidden="false" outlineLevel="0" max="15" min="15" style="1" width="14"/>
    <col collapsed="false" customWidth="true" hidden="false" outlineLevel="0" max="16" min="16" style="1" width="22"/>
  </cols>
  <sheetData>
    <row r="1" customFormat="false" ht="33.75" hidden="false" customHeight="true" outlineLevel="0" collapsed="false">
      <c r="A1" s="2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0" hidden="false" customHeight="true" outlineLevel="0" collapsed="false">
      <c r="A3" s="13" t="s">
        <v>164</v>
      </c>
      <c r="B3" s="13" t="s">
        <v>165</v>
      </c>
      <c r="C3" s="13" t="s">
        <v>166</v>
      </c>
      <c r="D3" s="13" t="s">
        <v>167</v>
      </c>
      <c r="E3" s="13" t="s">
        <v>168</v>
      </c>
      <c r="F3" s="13" t="s">
        <v>169</v>
      </c>
      <c r="G3" s="13" t="s">
        <v>170</v>
      </c>
      <c r="H3" s="13" t="s">
        <v>171</v>
      </c>
      <c r="I3" s="13" t="s">
        <v>172</v>
      </c>
      <c r="J3" s="13" t="s">
        <v>173</v>
      </c>
      <c r="K3" s="13" t="s">
        <v>174</v>
      </c>
      <c r="L3" s="13" t="s">
        <v>175</v>
      </c>
      <c r="M3" s="13" t="s">
        <v>176</v>
      </c>
      <c r="N3" s="13" t="s">
        <v>177</v>
      </c>
      <c r="O3" s="13" t="s">
        <v>178</v>
      </c>
      <c r="P3" s="13" t="s">
        <v>179</v>
      </c>
    </row>
    <row r="4" customFormat="false" ht="15" hidden="false" customHeight="true" outlineLevel="0" collapsed="false">
      <c r="A4" s="14" t="s">
        <v>180</v>
      </c>
      <c r="B4" s="14" t="s">
        <v>181</v>
      </c>
      <c r="C4" s="14" t="s">
        <v>182</v>
      </c>
      <c r="D4" s="17" t="s">
        <v>183</v>
      </c>
      <c r="E4" s="18" t="s">
        <v>184</v>
      </c>
      <c r="F4" s="14" t="s">
        <v>185</v>
      </c>
      <c r="G4" s="14" t="s">
        <v>186</v>
      </c>
      <c r="H4" s="14" t="s">
        <v>141</v>
      </c>
      <c r="I4" s="14" t="s">
        <v>187</v>
      </c>
      <c r="J4" s="14" t="s">
        <v>188</v>
      </c>
      <c r="K4" s="14" t="s">
        <v>189</v>
      </c>
      <c r="L4" s="14" t="s">
        <v>190</v>
      </c>
      <c r="M4" s="14" t="s">
        <v>191</v>
      </c>
      <c r="N4" s="14" t="s">
        <v>89</v>
      </c>
      <c r="O4" s="11" t="s">
        <v>192</v>
      </c>
      <c r="P4" s="19" t="s">
        <v>193</v>
      </c>
    </row>
    <row r="5" customFormat="false" ht="15" hidden="false" customHeight="true" outlineLevel="0" collapsed="false">
      <c r="A5" s="14" t="s">
        <v>194</v>
      </c>
      <c r="B5" s="14" t="s">
        <v>195</v>
      </c>
      <c r="C5" s="14" t="s">
        <v>196</v>
      </c>
      <c r="D5" s="17" t="s">
        <v>183</v>
      </c>
      <c r="E5" s="18" t="s">
        <v>197</v>
      </c>
      <c r="F5" s="14" t="s">
        <v>198</v>
      </c>
      <c r="G5" s="14" t="s">
        <v>7</v>
      </c>
      <c r="H5" s="14" t="s">
        <v>141</v>
      </c>
      <c r="I5" s="14" t="s">
        <v>187</v>
      </c>
      <c r="J5" s="14" t="s">
        <v>188</v>
      </c>
      <c r="K5" s="14" t="s">
        <v>189</v>
      </c>
      <c r="L5" s="14" t="s">
        <v>190</v>
      </c>
      <c r="M5" s="14" t="s">
        <v>191</v>
      </c>
      <c r="N5" s="14" t="s">
        <v>89</v>
      </c>
      <c r="O5" s="11" t="s">
        <v>192</v>
      </c>
      <c r="P5" s="19" t="s">
        <v>193</v>
      </c>
    </row>
    <row r="6" customFormat="false" ht="15" hidden="false" customHeight="true" outlineLevel="0" collapsed="false">
      <c r="A6" s="14" t="s">
        <v>199</v>
      </c>
      <c r="B6" s="14" t="s">
        <v>200</v>
      </c>
      <c r="C6" s="14" t="s">
        <v>201</v>
      </c>
      <c r="D6" s="17" t="s">
        <v>183</v>
      </c>
      <c r="E6" s="18" t="s">
        <v>202</v>
      </c>
      <c r="F6" s="14" t="s">
        <v>203</v>
      </c>
      <c r="G6" s="14" t="s">
        <v>204</v>
      </c>
      <c r="H6" s="14" t="s">
        <v>141</v>
      </c>
      <c r="I6" s="14" t="s">
        <v>187</v>
      </c>
      <c r="J6" s="14" t="s">
        <v>188</v>
      </c>
      <c r="K6" s="14" t="s">
        <v>189</v>
      </c>
      <c r="L6" s="14" t="s">
        <v>190</v>
      </c>
      <c r="M6" s="14" t="s">
        <v>191</v>
      </c>
      <c r="N6" s="14" t="s">
        <v>89</v>
      </c>
      <c r="O6" s="11" t="s">
        <v>192</v>
      </c>
      <c r="P6" s="19" t="s">
        <v>193</v>
      </c>
    </row>
    <row r="7" customFormat="false" ht="21.75" hidden="false" customHeight="true" outlineLevel="0" collapsed="false">
      <c r="A7" s="14" t="s">
        <v>205</v>
      </c>
      <c r="B7" s="14" t="s">
        <v>206</v>
      </c>
      <c r="C7" s="14" t="s">
        <v>207</v>
      </c>
      <c r="D7" s="17" t="s">
        <v>183</v>
      </c>
      <c r="E7" s="18" t="s">
        <v>208</v>
      </c>
      <c r="F7" s="14" t="s">
        <v>209</v>
      </c>
      <c r="G7" s="14" t="s">
        <v>210</v>
      </c>
      <c r="H7" s="14" t="s">
        <v>141</v>
      </c>
      <c r="I7" s="14" t="s">
        <v>187</v>
      </c>
      <c r="J7" s="14" t="s">
        <v>188</v>
      </c>
      <c r="K7" s="14" t="s">
        <v>189</v>
      </c>
      <c r="L7" s="14" t="s">
        <v>190</v>
      </c>
      <c r="M7" s="14" t="s">
        <v>191</v>
      </c>
      <c r="N7" s="14" t="s">
        <v>89</v>
      </c>
      <c r="O7" s="11" t="s">
        <v>192</v>
      </c>
      <c r="P7" s="19" t="s">
        <v>193</v>
      </c>
    </row>
    <row r="8" customFormat="false" ht="15" hidden="false" customHeight="true" outlineLevel="0" collapsed="false">
      <c r="A8" s="14" t="s">
        <v>211</v>
      </c>
      <c r="B8" s="14" t="s">
        <v>206</v>
      </c>
      <c r="C8" s="14" t="s">
        <v>212</v>
      </c>
      <c r="D8" s="15" t="s">
        <v>213</v>
      </c>
      <c r="E8" s="18" t="s">
        <v>214</v>
      </c>
      <c r="F8" s="14" t="s">
        <v>215</v>
      </c>
      <c r="G8" s="14" t="s">
        <v>216</v>
      </c>
      <c r="H8" s="14" t="s">
        <v>217</v>
      </c>
      <c r="I8" s="14" t="s">
        <v>218</v>
      </c>
      <c r="J8" s="14" t="s">
        <v>219</v>
      </c>
      <c r="K8" s="14" t="s">
        <v>141</v>
      </c>
      <c r="L8" s="14" t="s">
        <v>220</v>
      </c>
      <c r="M8" s="14" t="s">
        <v>191</v>
      </c>
      <c r="N8" s="14" t="s">
        <v>89</v>
      </c>
      <c r="O8" s="11" t="s">
        <v>221</v>
      </c>
      <c r="P8" s="16" t="s">
        <v>222</v>
      </c>
    </row>
    <row r="9" customFormat="false" ht="15" hidden="false" customHeight="true" outlineLevel="0" collapsed="false">
      <c r="A9" s="14" t="s">
        <v>223</v>
      </c>
      <c r="B9" s="14" t="s">
        <v>224</v>
      </c>
      <c r="C9" s="14" t="s">
        <v>225</v>
      </c>
      <c r="D9" s="15" t="s">
        <v>213</v>
      </c>
      <c r="E9" s="18" t="s">
        <v>226</v>
      </c>
      <c r="F9" s="14" t="s">
        <v>227</v>
      </c>
      <c r="G9" s="14" t="s">
        <v>216</v>
      </c>
      <c r="H9" s="14" t="s">
        <v>217</v>
      </c>
      <c r="I9" s="14" t="s">
        <v>218</v>
      </c>
      <c r="J9" s="14" t="s">
        <v>219</v>
      </c>
      <c r="K9" s="14" t="s">
        <v>141</v>
      </c>
      <c r="L9" s="14" t="s">
        <v>220</v>
      </c>
      <c r="M9" s="14" t="s">
        <v>191</v>
      </c>
      <c r="N9" s="14" t="s">
        <v>89</v>
      </c>
      <c r="O9" s="11" t="s">
        <v>221</v>
      </c>
      <c r="P9" s="16" t="s">
        <v>222</v>
      </c>
    </row>
    <row r="10" customFormat="false" ht="15" hidden="false" customHeight="true" outlineLevel="0" collapsed="false">
      <c r="A10" s="14" t="s">
        <v>228</v>
      </c>
      <c r="B10" s="14" t="s">
        <v>224</v>
      </c>
      <c r="C10" s="14" t="s">
        <v>229</v>
      </c>
      <c r="D10" s="17" t="s">
        <v>183</v>
      </c>
      <c r="E10" s="18" t="s">
        <v>230</v>
      </c>
      <c r="F10" s="14" t="s">
        <v>231</v>
      </c>
      <c r="G10" s="14" t="s">
        <v>7</v>
      </c>
      <c r="H10" s="14" t="s">
        <v>141</v>
      </c>
      <c r="I10" s="14" t="s">
        <v>187</v>
      </c>
      <c r="J10" s="14" t="s">
        <v>188</v>
      </c>
      <c r="K10" s="14" t="s">
        <v>189</v>
      </c>
      <c r="L10" s="14" t="s">
        <v>190</v>
      </c>
      <c r="M10" s="14" t="s">
        <v>191</v>
      </c>
      <c r="N10" s="14" t="s">
        <v>89</v>
      </c>
      <c r="O10" s="11" t="s">
        <v>192</v>
      </c>
      <c r="P10" s="19" t="s">
        <v>193</v>
      </c>
    </row>
    <row r="11" customFormat="false" ht="15" hidden="false" customHeight="true" outlineLevel="0" collapsed="false">
      <c r="A11" s="14" t="s">
        <v>232</v>
      </c>
      <c r="B11" s="14" t="s">
        <v>233</v>
      </c>
      <c r="C11" s="14" t="s">
        <v>234</v>
      </c>
      <c r="D11" s="20" t="s">
        <v>235</v>
      </c>
      <c r="E11" s="18" t="s">
        <v>236</v>
      </c>
      <c r="F11" s="14" t="s">
        <v>237</v>
      </c>
      <c r="G11" s="14" t="s">
        <v>141</v>
      </c>
      <c r="H11" s="14" t="s">
        <v>141</v>
      </c>
      <c r="I11" s="14" t="s">
        <v>238</v>
      </c>
      <c r="J11" s="14" t="s">
        <v>239</v>
      </c>
      <c r="K11" s="14" t="s">
        <v>240</v>
      </c>
      <c r="L11" s="14" t="s">
        <v>240</v>
      </c>
      <c r="M11" s="14" t="s">
        <v>191</v>
      </c>
      <c r="N11" s="14" t="s">
        <v>89</v>
      </c>
      <c r="O11" s="11" t="s">
        <v>241</v>
      </c>
      <c r="P11" s="11" t="s">
        <v>242</v>
      </c>
    </row>
    <row r="12" customFormat="false" ht="15" hidden="false" customHeight="true" outlineLevel="0" collapsed="false">
      <c r="A12" s="14" t="s">
        <v>243</v>
      </c>
      <c r="B12" s="14" t="s">
        <v>244</v>
      </c>
      <c r="C12" s="14" t="s">
        <v>245</v>
      </c>
      <c r="D12" s="20" t="s">
        <v>235</v>
      </c>
      <c r="E12" s="18" t="s">
        <v>246</v>
      </c>
      <c r="F12" s="14" t="s">
        <v>247</v>
      </c>
      <c r="G12" s="14" t="s">
        <v>141</v>
      </c>
      <c r="H12" s="14" t="s">
        <v>141</v>
      </c>
      <c r="I12" s="14" t="s">
        <v>238</v>
      </c>
      <c r="J12" s="14" t="s">
        <v>239</v>
      </c>
      <c r="K12" s="14" t="s">
        <v>240</v>
      </c>
      <c r="L12" s="14" t="s">
        <v>240</v>
      </c>
      <c r="M12" s="14" t="s">
        <v>191</v>
      </c>
      <c r="N12" s="14" t="s">
        <v>89</v>
      </c>
      <c r="O12" s="11" t="s">
        <v>241</v>
      </c>
      <c r="P12" s="11" t="s">
        <v>242</v>
      </c>
    </row>
    <row r="13" customFormat="false" ht="15" hidden="false" customHeight="true" outlineLevel="0" collapsed="false">
      <c r="A13" s="14" t="s">
        <v>248</v>
      </c>
      <c r="B13" s="14" t="s">
        <v>249</v>
      </c>
      <c r="C13" s="14" t="s">
        <v>250</v>
      </c>
      <c r="D13" s="20" t="s">
        <v>235</v>
      </c>
      <c r="E13" s="18" t="s">
        <v>251</v>
      </c>
      <c r="F13" s="14" t="s">
        <v>252</v>
      </c>
      <c r="G13" s="14" t="s">
        <v>141</v>
      </c>
      <c r="H13" s="14" t="s">
        <v>141</v>
      </c>
      <c r="I13" s="14" t="s">
        <v>238</v>
      </c>
      <c r="J13" s="14" t="s">
        <v>239</v>
      </c>
      <c r="K13" s="14" t="s">
        <v>240</v>
      </c>
      <c r="L13" s="14" t="s">
        <v>240</v>
      </c>
      <c r="M13" s="14" t="s">
        <v>191</v>
      </c>
      <c r="N13" s="14" t="s">
        <v>89</v>
      </c>
      <c r="O13" s="11" t="s">
        <v>241</v>
      </c>
      <c r="P13" s="11" t="s">
        <v>242</v>
      </c>
    </row>
    <row r="14" customFormat="false" ht="15" hidden="false" customHeight="true" outlineLevel="0" collapsed="false">
      <c r="A14" s="14" t="s">
        <v>253</v>
      </c>
      <c r="B14" s="14" t="s">
        <v>244</v>
      </c>
      <c r="C14" s="14" t="s">
        <v>254</v>
      </c>
      <c r="D14" s="17" t="s">
        <v>183</v>
      </c>
      <c r="E14" s="18" t="s">
        <v>255</v>
      </c>
      <c r="F14" s="14" t="s">
        <v>256</v>
      </c>
      <c r="G14" s="14" t="s">
        <v>7</v>
      </c>
      <c r="H14" s="14" t="s">
        <v>141</v>
      </c>
      <c r="I14" s="14" t="s">
        <v>187</v>
      </c>
      <c r="J14" s="14" t="s">
        <v>188</v>
      </c>
      <c r="K14" s="14" t="s">
        <v>189</v>
      </c>
      <c r="L14" s="14" t="s">
        <v>190</v>
      </c>
      <c r="M14" s="14" t="s">
        <v>191</v>
      </c>
      <c r="N14" s="14" t="s">
        <v>89</v>
      </c>
      <c r="O14" s="11" t="s">
        <v>192</v>
      </c>
      <c r="P14" s="19" t="s">
        <v>193</v>
      </c>
    </row>
    <row r="15" customFormat="false" ht="15" hidden="false" customHeight="true" outlineLevel="0" collapsed="false">
      <c r="A15" s="14" t="s">
        <v>257</v>
      </c>
      <c r="B15" s="14" t="s">
        <v>244</v>
      </c>
      <c r="C15" s="14" t="s">
        <v>258</v>
      </c>
      <c r="D15" s="15" t="s">
        <v>213</v>
      </c>
      <c r="E15" s="18" t="s">
        <v>259</v>
      </c>
      <c r="F15" s="14" t="s">
        <v>260</v>
      </c>
      <c r="G15" s="14" t="s">
        <v>261</v>
      </c>
      <c r="H15" s="14" t="s">
        <v>262</v>
      </c>
      <c r="I15" s="14" t="s">
        <v>218</v>
      </c>
      <c r="J15" s="14" t="s">
        <v>219</v>
      </c>
      <c r="K15" s="14" t="s">
        <v>141</v>
      </c>
      <c r="L15" s="14" t="s">
        <v>220</v>
      </c>
      <c r="M15" s="14" t="s">
        <v>191</v>
      </c>
      <c r="N15" s="14" t="s">
        <v>89</v>
      </c>
      <c r="O15" s="11" t="s">
        <v>221</v>
      </c>
      <c r="P15" s="16" t="s">
        <v>222</v>
      </c>
    </row>
    <row r="16" customFormat="false" ht="15" hidden="false" customHeight="true" outlineLevel="0" collapsed="false">
      <c r="A16" s="14" t="s">
        <v>263</v>
      </c>
      <c r="B16" s="14" t="s">
        <v>264</v>
      </c>
      <c r="C16" s="14" t="s">
        <v>265</v>
      </c>
      <c r="D16" s="20" t="s">
        <v>235</v>
      </c>
      <c r="E16" s="18" t="s">
        <v>266</v>
      </c>
      <c r="F16" s="14" t="s">
        <v>267</v>
      </c>
      <c r="G16" s="14" t="s">
        <v>141</v>
      </c>
      <c r="H16" s="14" t="s">
        <v>141</v>
      </c>
      <c r="I16" s="14" t="s">
        <v>238</v>
      </c>
      <c r="J16" s="14" t="s">
        <v>239</v>
      </c>
      <c r="K16" s="14" t="s">
        <v>240</v>
      </c>
      <c r="L16" s="14" t="s">
        <v>240</v>
      </c>
      <c r="M16" s="14" t="s">
        <v>191</v>
      </c>
      <c r="N16" s="14" t="s">
        <v>89</v>
      </c>
      <c r="O16" s="11" t="s">
        <v>241</v>
      </c>
      <c r="P16" s="11" t="s">
        <v>242</v>
      </c>
    </row>
    <row r="17" customFormat="false" ht="15" hidden="false" customHeight="true" outlineLevel="0" collapsed="false">
      <c r="A17" s="14" t="s">
        <v>268</v>
      </c>
      <c r="B17" s="14" t="s">
        <v>269</v>
      </c>
      <c r="C17" s="14" t="s">
        <v>270</v>
      </c>
      <c r="D17" s="20" t="s">
        <v>235</v>
      </c>
      <c r="E17" s="18" t="s">
        <v>271</v>
      </c>
      <c r="F17" s="14" t="s">
        <v>272</v>
      </c>
      <c r="G17" s="14" t="s">
        <v>141</v>
      </c>
      <c r="H17" s="14" t="s">
        <v>141</v>
      </c>
      <c r="I17" s="14" t="s">
        <v>238</v>
      </c>
      <c r="J17" s="14" t="s">
        <v>239</v>
      </c>
      <c r="K17" s="14" t="s">
        <v>240</v>
      </c>
      <c r="L17" s="14" t="s">
        <v>240</v>
      </c>
      <c r="M17" s="14" t="s">
        <v>191</v>
      </c>
      <c r="N17" s="14" t="s">
        <v>89</v>
      </c>
      <c r="O17" s="11" t="s">
        <v>241</v>
      </c>
      <c r="P17" s="11" t="s">
        <v>242</v>
      </c>
    </row>
    <row r="18" customFormat="false" ht="15" hidden="false" customHeight="true" outlineLevel="0" collapsed="false">
      <c r="A18" s="14" t="s">
        <v>273</v>
      </c>
      <c r="B18" s="14" t="s">
        <v>269</v>
      </c>
      <c r="C18" s="14" t="s">
        <v>274</v>
      </c>
      <c r="D18" s="15" t="s">
        <v>213</v>
      </c>
      <c r="E18" s="18" t="s">
        <v>275</v>
      </c>
      <c r="F18" s="14" t="s">
        <v>276</v>
      </c>
      <c r="G18" s="14" t="s">
        <v>261</v>
      </c>
      <c r="H18" s="14" t="s">
        <v>262</v>
      </c>
      <c r="I18" s="14" t="s">
        <v>218</v>
      </c>
      <c r="J18" s="14" t="s">
        <v>219</v>
      </c>
      <c r="K18" s="14" t="s">
        <v>141</v>
      </c>
      <c r="L18" s="14" t="s">
        <v>220</v>
      </c>
      <c r="M18" s="14" t="s">
        <v>191</v>
      </c>
      <c r="N18" s="14" t="s">
        <v>89</v>
      </c>
      <c r="O18" s="11" t="s">
        <v>221</v>
      </c>
      <c r="P18" s="16" t="s">
        <v>222</v>
      </c>
    </row>
    <row r="19" customFormat="false" ht="15" hidden="false" customHeight="true" outlineLevel="0" collapsed="false">
      <c r="A19" s="21" t="s">
        <v>277</v>
      </c>
      <c r="B19" s="21" t="s">
        <v>278</v>
      </c>
      <c r="C19" s="21" t="s">
        <v>279</v>
      </c>
      <c r="D19" s="22" t="s">
        <v>280</v>
      </c>
      <c r="E19" s="22" t="s">
        <v>142</v>
      </c>
      <c r="F19" s="21" t="s">
        <v>281</v>
      </c>
      <c r="G19" s="21" t="s">
        <v>141</v>
      </c>
      <c r="H19" s="21" t="s">
        <v>141</v>
      </c>
      <c r="I19" s="21" t="s">
        <v>238</v>
      </c>
      <c r="J19" s="22" t="s">
        <v>282</v>
      </c>
      <c r="K19" s="22" t="s">
        <v>142</v>
      </c>
      <c r="L19" s="21" t="s">
        <v>240</v>
      </c>
      <c r="M19" s="21" t="s">
        <v>191</v>
      </c>
      <c r="N19" s="21" t="s">
        <v>142</v>
      </c>
      <c r="O19" s="22" t="s">
        <v>142</v>
      </c>
      <c r="P19" s="22" t="s">
        <v>142</v>
      </c>
    </row>
    <row r="20" customFormat="false" ht="15" hidden="false" customHeight="true" outlineLevel="0" collapsed="false">
      <c r="A20" s="14" t="s">
        <v>283</v>
      </c>
      <c r="B20" s="14" t="s">
        <v>284</v>
      </c>
      <c r="C20" s="14" t="s">
        <v>285</v>
      </c>
      <c r="D20" s="15" t="s">
        <v>213</v>
      </c>
      <c r="E20" s="18" t="s">
        <v>286</v>
      </c>
      <c r="F20" s="14" t="s">
        <v>287</v>
      </c>
      <c r="G20" s="14" t="s">
        <v>261</v>
      </c>
      <c r="H20" s="14" t="s">
        <v>262</v>
      </c>
      <c r="I20" s="14" t="s">
        <v>218</v>
      </c>
      <c r="J20" s="14" t="s">
        <v>219</v>
      </c>
      <c r="K20" s="14" t="s">
        <v>141</v>
      </c>
      <c r="L20" s="14" t="s">
        <v>220</v>
      </c>
      <c r="M20" s="14" t="s">
        <v>191</v>
      </c>
      <c r="N20" s="14" t="s">
        <v>89</v>
      </c>
      <c r="O20" s="11" t="s">
        <v>221</v>
      </c>
      <c r="P20" s="16" t="s">
        <v>222</v>
      </c>
    </row>
    <row r="21" customFormat="false" ht="15" hidden="false" customHeight="true" outlineLevel="0" collapsed="false">
      <c r="A21" s="14" t="s">
        <v>288</v>
      </c>
      <c r="B21" s="14" t="s">
        <v>289</v>
      </c>
      <c r="C21" s="14" t="s">
        <v>290</v>
      </c>
      <c r="D21" s="17" t="s">
        <v>183</v>
      </c>
      <c r="E21" s="18" t="s">
        <v>291</v>
      </c>
      <c r="F21" s="14" t="s">
        <v>292</v>
      </c>
      <c r="G21" s="14" t="s">
        <v>7</v>
      </c>
      <c r="H21" s="14" t="s">
        <v>141</v>
      </c>
      <c r="I21" s="14" t="s">
        <v>187</v>
      </c>
      <c r="J21" s="14" t="s">
        <v>188</v>
      </c>
      <c r="K21" s="14" t="s">
        <v>189</v>
      </c>
      <c r="L21" s="14" t="s">
        <v>190</v>
      </c>
      <c r="M21" s="14" t="s">
        <v>191</v>
      </c>
      <c r="N21" s="14" t="s">
        <v>89</v>
      </c>
      <c r="O21" s="11" t="s">
        <v>192</v>
      </c>
      <c r="P21" s="19" t="s">
        <v>193</v>
      </c>
    </row>
    <row r="22" customFormat="false" ht="15" hidden="false" customHeight="true" outlineLevel="0" collapsed="false">
      <c r="A22" s="14" t="s">
        <v>293</v>
      </c>
      <c r="B22" s="14" t="s">
        <v>294</v>
      </c>
      <c r="C22" s="14" t="s">
        <v>295</v>
      </c>
      <c r="D22" s="17" t="s">
        <v>183</v>
      </c>
      <c r="E22" s="18" t="s">
        <v>296</v>
      </c>
      <c r="F22" s="14" t="s">
        <v>297</v>
      </c>
      <c r="G22" s="14" t="s">
        <v>7</v>
      </c>
      <c r="H22" s="14" t="s">
        <v>141</v>
      </c>
      <c r="I22" s="14" t="s">
        <v>187</v>
      </c>
      <c r="J22" s="14" t="s">
        <v>188</v>
      </c>
      <c r="K22" s="14" t="s">
        <v>189</v>
      </c>
      <c r="L22" s="14" t="s">
        <v>190</v>
      </c>
      <c r="M22" s="14" t="s">
        <v>191</v>
      </c>
      <c r="N22" s="14" t="s">
        <v>89</v>
      </c>
      <c r="O22" s="11" t="s">
        <v>192</v>
      </c>
      <c r="P22" s="19" t="s">
        <v>193</v>
      </c>
    </row>
    <row r="23" customFormat="false" ht="15" hidden="false" customHeight="true" outlineLevel="0" collapsed="false">
      <c r="A23" s="14" t="s">
        <v>298</v>
      </c>
      <c r="B23" s="14" t="s">
        <v>299</v>
      </c>
      <c r="C23" s="14" t="s">
        <v>300</v>
      </c>
      <c r="D23" s="15" t="s">
        <v>213</v>
      </c>
      <c r="E23" s="18" t="s">
        <v>301</v>
      </c>
      <c r="F23" s="14" t="s">
        <v>302</v>
      </c>
      <c r="G23" s="14" t="s">
        <v>303</v>
      </c>
      <c r="H23" s="14" t="s">
        <v>304</v>
      </c>
      <c r="I23" s="14" t="s">
        <v>218</v>
      </c>
      <c r="J23" s="14" t="s">
        <v>219</v>
      </c>
      <c r="K23" s="14" t="s">
        <v>141</v>
      </c>
      <c r="L23" s="14" t="s">
        <v>220</v>
      </c>
      <c r="M23" s="14" t="s">
        <v>191</v>
      </c>
      <c r="N23" s="14" t="s">
        <v>89</v>
      </c>
      <c r="O23" s="11" t="s">
        <v>221</v>
      </c>
      <c r="P23" s="16" t="s">
        <v>222</v>
      </c>
    </row>
    <row r="24" customFormat="false" ht="15" hidden="false" customHeight="true" outlineLevel="0" collapsed="false">
      <c r="A24" s="14" t="s">
        <v>305</v>
      </c>
      <c r="B24" s="14" t="s">
        <v>306</v>
      </c>
      <c r="C24" s="14" t="s">
        <v>307</v>
      </c>
      <c r="D24" s="20" t="s">
        <v>235</v>
      </c>
      <c r="E24" s="18" t="s">
        <v>308</v>
      </c>
      <c r="F24" s="14" t="s">
        <v>309</v>
      </c>
      <c r="G24" s="14" t="s">
        <v>141</v>
      </c>
      <c r="H24" s="14" t="s">
        <v>141</v>
      </c>
      <c r="I24" s="14" t="s">
        <v>238</v>
      </c>
      <c r="J24" s="23" t="s">
        <v>310</v>
      </c>
      <c r="K24" s="14" t="s">
        <v>311</v>
      </c>
      <c r="L24" s="14" t="s">
        <v>311</v>
      </c>
      <c r="M24" s="14" t="s">
        <v>191</v>
      </c>
      <c r="N24" s="14" t="s">
        <v>89</v>
      </c>
      <c r="O24" s="11" t="s">
        <v>241</v>
      </c>
      <c r="P24" s="11" t="s">
        <v>242</v>
      </c>
    </row>
    <row r="25" customFormat="false" ht="21.75" hidden="false" customHeight="true" outlineLevel="0" collapsed="false">
      <c r="A25" s="14" t="s">
        <v>312</v>
      </c>
      <c r="B25" s="14" t="s">
        <v>313</v>
      </c>
      <c r="C25" s="14" t="s">
        <v>314</v>
      </c>
      <c r="D25" s="21" t="s">
        <v>315</v>
      </c>
      <c r="E25" s="18" t="s">
        <v>316</v>
      </c>
      <c r="F25" s="14" t="s">
        <v>317</v>
      </c>
      <c r="G25" s="14" t="s">
        <v>318</v>
      </c>
      <c r="H25" s="14" t="s">
        <v>319</v>
      </c>
      <c r="I25" s="14" t="s">
        <v>320</v>
      </c>
      <c r="J25" s="14" t="s">
        <v>219</v>
      </c>
      <c r="K25" s="14" t="s">
        <v>141</v>
      </c>
      <c r="L25" s="14" t="s">
        <v>220</v>
      </c>
      <c r="M25" s="14" t="s">
        <v>191</v>
      </c>
      <c r="N25" s="14" t="s">
        <v>89</v>
      </c>
      <c r="O25" s="11" t="s">
        <v>221</v>
      </c>
      <c r="P25" s="16" t="s">
        <v>222</v>
      </c>
    </row>
  </sheetData>
  <mergeCells count="2">
    <mergeCell ref="A1:N1"/>
    <mergeCell ref="A2:N2"/>
  </mergeCells>
  <dataValidations count="1">
    <dataValidation allowBlank="true" errorStyle="stop" operator="between" showDropDown="false" showErrorMessage="false" showInputMessage="false" sqref="N4:N25" type="list">
      <formula1>"Pass,Fail,Pending,Blocked,N/A"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8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11"/>
  </cols>
  <sheetData>
    <row r="1" customFormat="false" ht="33.75" hidden="false" customHeight="true" outlineLevel="0" collapsed="false">
      <c r="A1" s="2" t="s">
        <v>321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322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0" hidden="false" customHeight="true" outlineLevel="0" collapsed="false">
      <c r="A3" s="13" t="s">
        <v>323</v>
      </c>
      <c r="B3" s="13" t="s">
        <v>324</v>
      </c>
      <c r="C3" s="13" t="s">
        <v>325</v>
      </c>
      <c r="D3" s="13" t="s">
        <v>326</v>
      </c>
      <c r="E3" s="13" t="s">
        <v>327</v>
      </c>
      <c r="F3" s="13" t="s">
        <v>164</v>
      </c>
      <c r="G3" s="13" t="s">
        <v>173</v>
      </c>
      <c r="H3" s="13" t="s">
        <v>175</v>
      </c>
      <c r="I3" s="13" t="s">
        <v>328</v>
      </c>
      <c r="J3" s="13" t="s">
        <v>177</v>
      </c>
    </row>
    <row r="4" customFormat="false" ht="32.25" hidden="false" customHeight="true" outlineLevel="0" collapsed="false">
      <c r="A4" s="14" t="s">
        <v>329</v>
      </c>
      <c r="B4" s="18" t="s">
        <v>330</v>
      </c>
      <c r="C4" s="14" t="s">
        <v>331</v>
      </c>
      <c r="D4" s="14" t="s">
        <v>156</v>
      </c>
      <c r="E4" s="14" t="s">
        <v>332</v>
      </c>
      <c r="F4" s="14" t="s">
        <v>141</v>
      </c>
      <c r="G4" s="14" t="s">
        <v>333</v>
      </c>
      <c r="H4" s="14" t="s">
        <v>334</v>
      </c>
      <c r="I4" s="17" t="s">
        <v>330</v>
      </c>
      <c r="J4" s="14" t="s">
        <v>89</v>
      </c>
    </row>
    <row r="5" customFormat="false" ht="15" hidden="false" customHeight="true" outlineLevel="0" collapsed="false">
      <c r="A5" s="14" t="s">
        <v>335</v>
      </c>
      <c r="B5" s="18" t="s">
        <v>336</v>
      </c>
      <c r="C5" s="14" t="s">
        <v>337</v>
      </c>
      <c r="D5" s="14" t="s">
        <v>156</v>
      </c>
      <c r="E5" s="14" t="s">
        <v>332</v>
      </c>
      <c r="F5" s="14" t="s">
        <v>338</v>
      </c>
      <c r="G5" s="14" t="s">
        <v>339</v>
      </c>
      <c r="H5" s="14" t="s">
        <v>340</v>
      </c>
      <c r="I5" s="17" t="s">
        <v>341</v>
      </c>
      <c r="J5" s="14" t="s">
        <v>89</v>
      </c>
    </row>
    <row r="6" customFormat="false" ht="15" hidden="false" customHeight="true" outlineLevel="0" collapsed="false">
      <c r="A6" s="14" t="s">
        <v>209</v>
      </c>
      <c r="B6" s="18" t="s">
        <v>336</v>
      </c>
      <c r="C6" s="14" t="s">
        <v>337</v>
      </c>
      <c r="D6" s="14" t="s">
        <v>156</v>
      </c>
      <c r="E6" s="14" t="s">
        <v>342</v>
      </c>
      <c r="F6" s="14" t="s">
        <v>205</v>
      </c>
      <c r="G6" s="14" t="s">
        <v>188</v>
      </c>
      <c r="H6" s="14" t="s">
        <v>190</v>
      </c>
      <c r="I6" s="17" t="s">
        <v>341</v>
      </c>
      <c r="J6" s="14" t="s">
        <v>89</v>
      </c>
    </row>
    <row r="7" customFormat="false" ht="15" hidden="false" customHeight="true" outlineLevel="0" collapsed="false">
      <c r="A7" s="14" t="s">
        <v>343</v>
      </c>
      <c r="B7" s="18" t="s">
        <v>17</v>
      </c>
      <c r="C7" s="14" t="s">
        <v>344</v>
      </c>
      <c r="D7" s="14" t="s">
        <v>156</v>
      </c>
      <c r="E7" s="14" t="s">
        <v>342</v>
      </c>
      <c r="F7" s="14" t="s">
        <v>205</v>
      </c>
      <c r="G7" s="14" t="s">
        <v>339</v>
      </c>
      <c r="H7" s="14" t="s">
        <v>339</v>
      </c>
      <c r="I7" s="15" t="s">
        <v>21</v>
      </c>
      <c r="J7" s="14" t="s">
        <v>89</v>
      </c>
    </row>
    <row r="8" customFormat="false" ht="15" hidden="false" customHeight="true" outlineLevel="0" collapsed="false">
      <c r="A8" s="14" t="s">
        <v>203</v>
      </c>
      <c r="B8" s="18" t="s">
        <v>336</v>
      </c>
      <c r="C8" s="14" t="s">
        <v>337</v>
      </c>
      <c r="D8" s="14" t="s">
        <v>156</v>
      </c>
      <c r="E8" s="14" t="s">
        <v>200</v>
      </c>
      <c r="F8" s="14" t="s">
        <v>199</v>
      </c>
      <c r="G8" s="14" t="s">
        <v>188</v>
      </c>
      <c r="H8" s="14" t="s">
        <v>190</v>
      </c>
      <c r="I8" s="17" t="s">
        <v>341</v>
      </c>
      <c r="J8" s="14" t="s">
        <v>89</v>
      </c>
    </row>
    <row r="9" customFormat="false" ht="15" hidden="false" customHeight="true" outlineLevel="0" collapsed="false">
      <c r="A9" s="14" t="s">
        <v>256</v>
      </c>
      <c r="B9" s="18" t="s">
        <v>336</v>
      </c>
      <c r="C9" s="14" t="s">
        <v>337</v>
      </c>
      <c r="D9" s="14" t="s">
        <v>156</v>
      </c>
      <c r="E9" s="14" t="s">
        <v>345</v>
      </c>
      <c r="F9" s="14" t="s">
        <v>253</v>
      </c>
      <c r="G9" s="14" t="s">
        <v>188</v>
      </c>
      <c r="H9" s="14" t="s">
        <v>190</v>
      </c>
      <c r="I9" s="17" t="s">
        <v>341</v>
      </c>
      <c r="J9" s="14" t="s">
        <v>89</v>
      </c>
    </row>
    <row r="10" customFormat="false" ht="15" hidden="false" customHeight="true" outlineLevel="0" collapsed="false">
      <c r="A10" s="14" t="s">
        <v>215</v>
      </c>
      <c r="B10" s="18" t="s">
        <v>341</v>
      </c>
      <c r="C10" s="14" t="s">
        <v>337</v>
      </c>
      <c r="D10" s="14" t="s">
        <v>156</v>
      </c>
      <c r="E10" s="14" t="s">
        <v>342</v>
      </c>
      <c r="F10" s="14" t="s">
        <v>211</v>
      </c>
      <c r="G10" s="14" t="s">
        <v>219</v>
      </c>
      <c r="H10" s="14" t="s">
        <v>220</v>
      </c>
      <c r="I10" s="17" t="s">
        <v>341</v>
      </c>
      <c r="J10" s="14" t="s">
        <v>89</v>
      </c>
    </row>
    <row r="11" customFormat="false" ht="15" hidden="false" customHeight="true" outlineLevel="0" collapsed="false">
      <c r="A11" s="14" t="s">
        <v>227</v>
      </c>
      <c r="B11" s="18" t="s">
        <v>341</v>
      </c>
      <c r="C11" s="14" t="s">
        <v>337</v>
      </c>
      <c r="D11" s="14" t="s">
        <v>156</v>
      </c>
      <c r="E11" s="14" t="s">
        <v>224</v>
      </c>
      <c r="F11" s="14" t="s">
        <v>223</v>
      </c>
      <c r="G11" s="14" t="s">
        <v>219</v>
      </c>
      <c r="H11" s="14" t="s">
        <v>220</v>
      </c>
      <c r="I11" s="17" t="s">
        <v>341</v>
      </c>
      <c r="J11" s="14" t="s">
        <v>89</v>
      </c>
    </row>
    <row r="12" customFormat="false" ht="15" hidden="false" customHeight="true" outlineLevel="0" collapsed="false">
      <c r="A12" s="14" t="s">
        <v>260</v>
      </c>
      <c r="B12" s="18" t="s">
        <v>341</v>
      </c>
      <c r="C12" s="14" t="s">
        <v>337</v>
      </c>
      <c r="D12" s="14" t="s">
        <v>156</v>
      </c>
      <c r="E12" s="14" t="s">
        <v>345</v>
      </c>
      <c r="F12" s="14" t="s">
        <v>257</v>
      </c>
      <c r="G12" s="14" t="s">
        <v>219</v>
      </c>
      <c r="H12" s="14" t="s">
        <v>220</v>
      </c>
      <c r="I12" s="17" t="s">
        <v>341</v>
      </c>
      <c r="J12" s="14" t="s">
        <v>89</v>
      </c>
    </row>
    <row r="13" customFormat="false" ht="15" hidden="false" customHeight="true" outlineLevel="0" collapsed="false">
      <c r="A13" s="14" t="s">
        <v>276</v>
      </c>
      <c r="B13" s="18" t="s">
        <v>341</v>
      </c>
      <c r="C13" s="14" t="s">
        <v>337</v>
      </c>
      <c r="D13" s="14" t="s">
        <v>156</v>
      </c>
      <c r="E13" s="14" t="s">
        <v>346</v>
      </c>
      <c r="F13" s="14" t="s">
        <v>273</v>
      </c>
      <c r="G13" s="14" t="s">
        <v>219</v>
      </c>
      <c r="H13" s="14" t="s">
        <v>220</v>
      </c>
      <c r="I13" s="17" t="s">
        <v>341</v>
      </c>
      <c r="J13" s="14" t="s">
        <v>89</v>
      </c>
    </row>
    <row r="14" customFormat="false" ht="15" hidden="false" customHeight="true" outlineLevel="0" collapsed="false">
      <c r="A14" s="14" t="s">
        <v>347</v>
      </c>
      <c r="B14" s="18" t="s">
        <v>348</v>
      </c>
      <c r="C14" s="14" t="s">
        <v>349</v>
      </c>
      <c r="D14" s="14" t="s">
        <v>156</v>
      </c>
      <c r="E14" s="14" t="s">
        <v>332</v>
      </c>
      <c r="F14" s="14" t="s">
        <v>350</v>
      </c>
      <c r="G14" s="14" t="s">
        <v>339</v>
      </c>
      <c r="H14" s="14" t="s">
        <v>339</v>
      </c>
      <c r="I14" s="15" t="s">
        <v>351</v>
      </c>
      <c r="J14" s="14" t="s">
        <v>89</v>
      </c>
    </row>
    <row r="15" customFormat="false" ht="15" hidden="false" customHeight="true" outlineLevel="0" collapsed="false">
      <c r="A15" s="14" t="s">
        <v>352</v>
      </c>
      <c r="B15" s="18" t="s">
        <v>9</v>
      </c>
      <c r="C15" s="14" t="s">
        <v>353</v>
      </c>
      <c r="D15" s="14" t="s">
        <v>156</v>
      </c>
      <c r="E15" s="14" t="s">
        <v>332</v>
      </c>
      <c r="F15" s="14" t="s">
        <v>350</v>
      </c>
      <c r="G15" s="14" t="s">
        <v>85</v>
      </c>
      <c r="H15" s="14" t="s">
        <v>339</v>
      </c>
      <c r="I15" s="15" t="s">
        <v>7</v>
      </c>
      <c r="J15" s="14" t="s">
        <v>89</v>
      </c>
    </row>
    <row r="16" customFormat="false" ht="15" hidden="false" customHeight="true" outlineLevel="0" collapsed="false">
      <c r="A16" s="14" t="s">
        <v>237</v>
      </c>
      <c r="B16" s="18" t="s">
        <v>336</v>
      </c>
      <c r="C16" s="14" t="s">
        <v>337</v>
      </c>
      <c r="D16" s="14" t="s">
        <v>156</v>
      </c>
      <c r="E16" s="14" t="s">
        <v>345</v>
      </c>
      <c r="F16" s="14" t="s">
        <v>232</v>
      </c>
      <c r="G16" s="14" t="s">
        <v>354</v>
      </c>
      <c r="H16" s="14" t="s">
        <v>240</v>
      </c>
      <c r="I16" s="17" t="s">
        <v>341</v>
      </c>
      <c r="J16" s="14" t="s">
        <v>89</v>
      </c>
    </row>
    <row r="17" customFormat="false" ht="15" hidden="false" customHeight="true" outlineLevel="0" collapsed="false">
      <c r="A17" s="14" t="s">
        <v>272</v>
      </c>
      <c r="B17" s="18" t="s">
        <v>336</v>
      </c>
      <c r="C17" s="14" t="s">
        <v>337</v>
      </c>
      <c r="D17" s="14" t="s">
        <v>156</v>
      </c>
      <c r="E17" s="14" t="s">
        <v>346</v>
      </c>
      <c r="F17" s="14" t="s">
        <v>268</v>
      </c>
      <c r="G17" s="14" t="s">
        <v>354</v>
      </c>
      <c r="H17" s="14" t="s">
        <v>240</v>
      </c>
      <c r="I17" s="17" t="s">
        <v>341</v>
      </c>
      <c r="J17" s="14" t="s">
        <v>89</v>
      </c>
    </row>
    <row r="18" customFormat="false" ht="15" hidden="false" customHeight="true" outlineLevel="0" collapsed="false">
      <c r="A18" s="14" t="s">
        <v>355</v>
      </c>
      <c r="B18" s="18" t="s">
        <v>15</v>
      </c>
      <c r="C18" s="14" t="s">
        <v>356</v>
      </c>
      <c r="D18" s="14" t="s">
        <v>156</v>
      </c>
      <c r="E18" s="14" t="s">
        <v>332</v>
      </c>
      <c r="F18" s="14" t="s">
        <v>357</v>
      </c>
      <c r="G18" s="14" t="s">
        <v>339</v>
      </c>
      <c r="H18" s="14" t="s">
        <v>339</v>
      </c>
      <c r="I18" s="15" t="s">
        <v>11</v>
      </c>
      <c r="J18" s="14" t="s">
        <v>89</v>
      </c>
    </row>
    <row r="19" customFormat="false" ht="15" hidden="false" customHeight="true" outlineLevel="0" collapsed="false">
      <c r="A19" s="14" t="s">
        <v>317</v>
      </c>
      <c r="B19" s="18" t="s">
        <v>336</v>
      </c>
      <c r="C19" s="14" t="s">
        <v>337</v>
      </c>
      <c r="D19" s="14" t="s">
        <v>156</v>
      </c>
      <c r="E19" s="14" t="s">
        <v>313</v>
      </c>
      <c r="F19" s="14" t="s">
        <v>312</v>
      </c>
      <c r="G19" s="14" t="s">
        <v>358</v>
      </c>
      <c r="H19" s="14" t="s">
        <v>220</v>
      </c>
      <c r="I19" s="17" t="s">
        <v>341</v>
      </c>
      <c r="J19" s="14" t="s">
        <v>89</v>
      </c>
    </row>
    <row r="20" customFormat="false" ht="15" hidden="false" customHeight="true" outlineLevel="0" collapsed="false">
      <c r="A20" s="14" t="s">
        <v>359</v>
      </c>
      <c r="B20" s="18" t="s">
        <v>9</v>
      </c>
      <c r="C20" s="14" t="s">
        <v>360</v>
      </c>
      <c r="D20" s="14" t="s">
        <v>156</v>
      </c>
      <c r="E20" s="14" t="s">
        <v>313</v>
      </c>
      <c r="F20" s="14" t="s">
        <v>312</v>
      </c>
      <c r="G20" s="14" t="s">
        <v>339</v>
      </c>
      <c r="H20" s="14" t="s">
        <v>339</v>
      </c>
      <c r="I20" s="15" t="s">
        <v>11</v>
      </c>
      <c r="J20" s="14" t="s">
        <v>89</v>
      </c>
    </row>
    <row r="21" customFormat="false" ht="21.75" hidden="false" customHeight="true" outlineLevel="0" collapsed="false">
      <c r="A21" s="14" t="s">
        <v>361</v>
      </c>
      <c r="B21" s="18" t="s">
        <v>336</v>
      </c>
      <c r="C21" s="14" t="s">
        <v>337</v>
      </c>
      <c r="D21" s="14" t="s">
        <v>156</v>
      </c>
      <c r="E21" s="14" t="s">
        <v>313</v>
      </c>
      <c r="F21" s="14" t="s">
        <v>312</v>
      </c>
      <c r="G21" s="14" t="s">
        <v>339</v>
      </c>
      <c r="H21" s="14" t="s">
        <v>339</v>
      </c>
      <c r="I21" s="15" t="s">
        <v>336</v>
      </c>
      <c r="J21" s="14" t="s">
        <v>89</v>
      </c>
    </row>
    <row r="22" customFormat="false" ht="15" hidden="false" customHeight="true" outlineLevel="0" collapsed="false">
      <c r="A22" s="14" t="s">
        <v>362</v>
      </c>
      <c r="B22" s="18" t="s">
        <v>363</v>
      </c>
      <c r="C22" s="14" t="s">
        <v>364</v>
      </c>
      <c r="D22" s="14" t="s">
        <v>156</v>
      </c>
      <c r="E22" s="14" t="s">
        <v>313</v>
      </c>
      <c r="F22" s="14" t="s">
        <v>312</v>
      </c>
      <c r="G22" s="14" t="s">
        <v>339</v>
      </c>
      <c r="H22" s="14" t="s">
        <v>339</v>
      </c>
      <c r="I22" s="15" t="s">
        <v>365</v>
      </c>
      <c r="J22" s="14" t="s">
        <v>89</v>
      </c>
    </row>
    <row r="23" customFormat="false" ht="15" hidden="false" customHeight="true" outlineLevel="0" collapsed="false">
      <c r="A23" s="14" t="s">
        <v>366</v>
      </c>
      <c r="B23" s="18" t="s">
        <v>7</v>
      </c>
      <c r="C23" s="14" t="s">
        <v>7</v>
      </c>
      <c r="D23" s="14" t="s">
        <v>156</v>
      </c>
      <c r="E23" s="14" t="s">
        <v>313</v>
      </c>
      <c r="F23" s="14" t="s">
        <v>312</v>
      </c>
      <c r="G23" s="14" t="s">
        <v>85</v>
      </c>
      <c r="H23" s="14" t="s">
        <v>339</v>
      </c>
      <c r="I23" s="15" t="s">
        <v>7</v>
      </c>
      <c r="J23" s="14" t="s">
        <v>89</v>
      </c>
    </row>
    <row r="24" customFormat="false" ht="15" hidden="false" customHeight="true" outlineLevel="0" collapsed="false">
      <c r="A24" s="14" t="s">
        <v>367</v>
      </c>
      <c r="B24" s="18" t="s">
        <v>9</v>
      </c>
      <c r="C24" s="14" t="s">
        <v>353</v>
      </c>
      <c r="D24" s="14" t="s">
        <v>156</v>
      </c>
      <c r="E24" s="14" t="s">
        <v>313</v>
      </c>
      <c r="F24" s="14" t="s">
        <v>312</v>
      </c>
      <c r="G24" s="14" t="s">
        <v>85</v>
      </c>
      <c r="H24" s="14" t="s">
        <v>339</v>
      </c>
      <c r="I24" s="15" t="s">
        <v>9</v>
      </c>
      <c r="J24" s="14" t="s">
        <v>89</v>
      </c>
    </row>
    <row r="25" customFormat="false" ht="21.75" hidden="false" customHeight="true" outlineLevel="0" collapsed="false">
      <c r="A25" s="14" t="s">
        <v>368</v>
      </c>
      <c r="B25" s="18" t="s">
        <v>351</v>
      </c>
      <c r="C25" s="14" t="s">
        <v>369</v>
      </c>
      <c r="D25" s="14" t="s">
        <v>156</v>
      </c>
      <c r="E25" s="14" t="s">
        <v>313</v>
      </c>
      <c r="F25" s="14" t="s">
        <v>312</v>
      </c>
      <c r="G25" s="14" t="s">
        <v>339</v>
      </c>
      <c r="H25" s="14" t="s">
        <v>339</v>
      </c>
      <c r="I25" s="15" t="s">
        <v>370</v>
      </c>
      <c r="J25" s="14" t="s">
        <v>89</v>
      </c>
    </row>
    <row r="26" customFormat="false" ht="15" hidden="false" customHeight="true" outlineLevel="0" collapsed="false">
      <c r="A26" s="14" t="s">
        <v>371</v>
      </c>
      <c r="B26" s="18" t="s">
        <v>372</v>
      </c>
      <c r="C26" s="14" t="s">
        <v>373</v>
      </c>
      <c r="D26" s="14" t="s">
        <v>156</v>
      </c>
      <c r="E26" s="14" t="s">
        <v>313</v>
      </c>
      <c r="F26" s="14" t="s">
        <v>312</v>
      </c>
      <c r="G26" s="14" t="s">
        <v>339</v>
      </c>
      <c r="H26" s="14" t="s">
        <v>339</v>
      </c>
      <c r="I26" s="15" t="s">
        <v>372</v>
      </c>
      <c r="J26" s="14" t="s">
        <v>89</v>
      </c>
    </row>
    <row r="27" customFormat="false" ht="15" hidden="false" customHeight="true" outlineLevel="0" collapsed="false">
      <c r="A27" s="14" t="s">
        <v>374</v>
      </c>
      <c r="B27" s="18" t="s">
        <v>13</v>
      </c>
      <c r="C27" s="14" t="s">
        <v>13</v>
      </c>
      <c r="D27" s="14" t="s">
        <v>88</v>
      </c>
      <c r="E27" s="14" t="s">
        <v>313</v>
      </c>
      <c r="F27" s="14" t="s">
        <v>312</v>
      </c>
      <c r="G27" s="14" t="s">
        <v>339</v>
      </c>
      <c r="H27" s="14" t="s">
        <v>339</v>
      </c>
      <c r="I27" s="15" t="s">
        <v>13</v>
      </c>
      <c r="J27" s="14" t="s">
        <v>89</v>
      </c>
    </row>
    <row r="28" customFormat="false" ht="15" hidden="false" customHeight="true" outlineLevel="0" collapsed="false">
      <c r="A28" s="14" t="s">
        <v>375</v>
      </c>
      <c r="B28" s="18" t="s">
        <v>376</v>
      </c>
      <c r="C28" s="14" t="s">
        <v>377</v>
      </c>
      <c r="D28" s="14" t="s">
        <v>156</v>
      </c>
      <c r="E28" s="14" t="s">
        <v>378</v>
      </c>
      <c r="F28" s="14" t="s">
        <v>141</v>
      </c>
      <c r="G28" s="14" t="s">
        <v>339</v>
      </c>
      <c r="H28" s="14" t="s">
        <v>334</v>
      </c>
      <c r="I28" s="15" t="s">
        <v>376</v>
      </c>
      <c r="J28" s="14" t="s">
        <v>89</v>
      </c>
    </row>
    <row r="29" customFormat="false" ht="15" hidden="false" customHeight="true" outlineLevel="0" collapsed="false">
      <c r="A29" s="14" t="s">
        <v>379</v>
      </c>
      <c r="B29" s="18" t="s">
        <v>336</v>
      </c>
      <c r="C29" s="14" t="s">
        <v>337</v>
      </c>
      <c r="D29" s="14" t="s">
        <v>156</v>
      </c>
      <c r="E29" s="14" t="s">
        <v>378</v>
      </c>
      <c r="F29" s="14" t="s">
        <v>141</v>
      </c>
      <c r="G29" s="14" t="s">
        <v>339</v>
      </c>
      <c r="H29" s="14" t="s">
        <v>339</v>
      </c>
      <c r="I29" s="15" t="s">
        <v>336</v>
      </c>
      <c r="J29" s="14" t="s">
        <v>89</v>
      </c>
    </row>
    <row r="30" customFormat="false" ht="15" hidden="false" customHeight="true" outlineLevel="0" collapsed="false">
      <c r="A30" s="14" t="s">
        <v>380</v>
      </c>
      <c r="B30" s="18" t="s">
        <v>7</v>
      </c>
      <c r="C30" s="14" t="s">
        <v>381</v>
      </c>
      <c r="D30" s="14" t="s">
        <v>156</v>
      </c>
      <c r="E30" s="14" t="s">
        <v>382</v>
      </c>
      <c r="F30" s="14" t="s">
        <v>141</v>
      </c>
      <c r="G30" s="14" t="s">
        <v>339</v>
      </c>
      <c r="H30" s="14" t="s">
        <v>339</v>
      </c>
      <c r="I30" s="15" t="s">
        <v>7</v>
      </c>
      <c r="J30" s="14" t="s">
        <v>89</v>
      </c>
    </row>
    <row r="31" customFormat="false" ht="15" hidden="false" customHeight="true" outlineLevel="0" collapsed="false">
      <c r="A31" s="14" t="s">
        <v>383</v>
      </c>
      <c r="B31" s="18" t="s">
        <v>336</v>
      </c>
      <c r="C31" s="14" t="s">
        <v>337</v>
      </c>
      <c r="D31" s="14" t="s">
        <v>156</v>
      </c>
      <c r="E31" s="14" t="s">
        <v>382</v>
      </c>
      <c r="F31" s="14" t="s">
        <v>141</v>
      </c>
      <c r="G31" s="14" t="s">
        <v>339</v>
      </c>
      <c r="H31" s="14" t="s">
        <v>339</v>
      </c>
      <c r="I31" s="17" t="s">
        <v>341</v>
      </c>
      <c r="J31" s="14" t="s">
        <v>89</v>
      </c>
    </row>
    <row r="32" customFormat="false" ht="15" hidden="false" customHeight="true" outlineLevel="0" collapsed="false">
      <c r="A32" s="11" t="s">
        <v>384</v>
      </c>
      <c r="B32" s="24" t="s">
        <v>363</v>
      </c>
      <c r="C32" s="11" t="s">
        <v>385</v>
      </c>
      <c r="D32" s="11" t="s">
        <v>88</v>
      </c>
      <c r="E32" s="11" t="s">
        <v>313</v>
      </c>
      <c r="F32" s="11" t="s">
        <v>312</v>
      </c>
      <c r="G32" s="11" t="s">
        <v>339</v>
      </c>
      <c r="H32" s="11" t="s">
        <v>339</v>
      </c>
      <c r="I32" s="11" t="s">
        <v>363</v>
      </c>
      <c r="J32" s="11" t="s">
        <v>89</v>
      </c>
    </row>
    <row r="33" customFormat="false" ht="21.75" hidden="false" customHeight="true" outlineLevel="0" collapsed="false">
      <c r="A33" s="11" t="s">
        <v>386</v>
      </c>
      <c r="B33" s="24" t="s">
        <v>370</v>
      </c>
      <c r="C33" s="11" t="s">
        <v>387</v>
      </c>
      <c r="D33" s="11" t="s">
        <v>156</v>
      </c>
      <c r="E33" s="11" t="s">
        <v>313</v>
      </c>
      <c r="F33" s="11" t="s">
        <v>312</v>
      </c>
      <c r="G33" s="11" t="s">
        <v>339</v>
      </c>
      <c r="H33" s="11" t="s">
        <v>339</v>
      </c>
      <c r="I33" s="11" t="s">
        <v>370</v>
      </c>
      <c r="J33" s="11" t="s">
        <v>89</v>
      </c>
    </row>
    <row r="34" customFormat="false" ht="21.75" hidden="false" customHeight="true" outlineLevel="0" collapsed="false">
      <c r="A34" s="11" t="s">
        <v>388</v>
      </c>
      <c r="B34" s="24" t="s">
        <v>370</v>
      </c>
      <c r="C34" s="11" t="s">
        <v>387</v>
      </c>
      <c r="D34" s="11" t="s">
        <v>156</v>
      </c>
      <c r="E34" s="11" t="s">
        <v>313</v>
      </c>
      <c r="F34" s="11" t="s">
        <v>312</v>
      </c>
      <c r="G34" s="11" t="s">
        <v>339</v>
      </c>
      <c r="H34" s="11" t="s">
        <v>339</v>
      </c>
      <c r="I34" s="11" t="s">
        <v>370</v>
      </c>
      <c r="J34" s="11" t="s">
        <v>89</v>
      </c>
    </row>
    <row r="35" customFormat="false" ht="21.75" hidden="false" customHeight="true" outlineLevel="0" collapsed="false">
      <c r="A35" s="11" t="s">
        <v>389</v>
      </c>
      <c r="B35" s="24" t="s">
        <v>348</v>
      </c>
      <c r="C35" s="11" t="s">
        <v>390</v>
      </c>
      <c r="D35" s="11" t="s">
        <v>156</v>
      </c>
      <c r="E35" s="11" t="s">
        <v>313</v>
      </c>
      <c r="F35" s="11" t="s">
        <v>312</v>
      </c>
      <c r="G35" s="11" t="s">
        <v>339</v>
      </c>
      <c r="H35" s="11" t="s">
        <v>339</v>
      </c>
      <c r="I35" s="11" t="s">
        <v>348</v>
      </c>
      <c r="J35" s="11" t="s">
        <v>89</v>
      </c>
    </row>
    <row r="36" customFormat="false" ht="15" hidden="false" customHeight="true" outlineLevel="0" collapsed="false">
      <c r="A36" s="11" t="s">
        <v>391</v>
      </c>
      <c r="B36" s="24" t="s">
        <v>336</v>
      </c>
      <c r="C36" s="11" t="s">
        <v>337</v>
      </c>
      <c r="D36" s="11" t="s">
        <v>156</v>
      </c>
      <c r="E36" s="11" t="s">
        <v>345</v>
      </c>
      <c r="F36" s="11" t="s">
        <v>312</v>
      </c>
      <c r="G36" s="11" t="s">
        <v>339</v>
      </c>
      <c r="H36" s="11" t="s">
        <v>339</v>
      </c>
      <c r="I36" s="19" t="s">
        <v>336</v>
      </c>
      <c r="J36" s="11" t="s">
        <v>89</v>
      </c>
    </row>
    <row r="37" customFormat="false" ht="15" hidden="false" customHeight="true" outlineLevel="0" collapsed="false">
      <c r="A37" s="11" t="s">
        <v>392</v>
      </c>
      <c r="B37" s="24" t="s">
        <v>336</v>
      </c>
      <c r="C37" s="11" t="s">
        <v>337</v>
      </c>
      <c r="D37" s="11" t="s">
        <v>156</v>
      </c>
      <c r="E37" s="11" t="s">
        <v>346</v>
      </c>
      <c r="F37" s="11" t="s">
        <v>312</v>
      </c>
      <c r="G37" s="11" t="s">
        <v>339</v>
      </c>
      <c r="H37" s="11" t="s">
        <v>339</v>
      </c>
      <c r="I37" s="19" t="s">
        <v>336</v>
      </c>
      <c r="J37" s="11" t="s">
        <v>89</v>
      </c>
    </row>
    <row r="38" customFormat="false" ht="15" hidden="false" customHeight="true" outlineLevel="0" collapsed="false">
      <c r="A38" s="11" t="s">
        <v>393</v>
      </c>
      <c r="B38" s="24" t="s">
        <v>336</v>
      </c>
      <c r="C38" s="11" t="s">
        <v>337</v>
      </c>
      <c r="D38" s="11" t="s">
        <v>156</v>
      </c>
      <c r="E38" s="11" t="s">
        <v>394</v>
      </c>
      <c r="F38" s="11" t="s">
        <v>312</v>
      </c>
      <c r="G38" s="11" t="s">
        <v>339</v>
      </c>
      <c r="H38" s="11" t="s">
        <v>339</v>
      </c>
      <c r="I38" s="19" t="s">
        <v>336</v>
      </c>
      <c r="J38" s="11" t="s">
        <v>89</v>
      </c>
    </row>
    <row r="39" customFormat="false" ht="15" hidden="false" customHeight="true" outlineLevel="0" collapsed="false">
      <c r="A39" s="11" t="s">
        <v>395</v>
      </c>
      <c r="B39" s="24" t="s">
        <v>336</v>
      </c>
      <c r="C39" s="11" t="s">
        <v>337</v>
      </c>
      <c r="D39" s="11" t="s">
        <v>156</v>
      </c>
      <c r="E39" s="11" t="s">
        <v>396</v>
      </c>
      <c r="F39" s="11" t="s">
        <v>312</v>
      </c>
      <c r="G39" s="11" t="s">
        <v>339</v>
      </c>
      <c r="H39" s="11" t="s">
        <v>339</v>
      </c>
      <c r="I39" s="19" t="s">
        <v>336</v>
      </c>
      <c r="J39" s="11" t="s">
        <v>89</v>
      </c>
    </row>
    <row r="40" customFormat="false" ht="15" hidden="false" customHeight="true" outlineLevel="0" collapsed="false">
      <c r="A40" s="11" t="s">
        <v>397</v>
      </c>
      <c r="B40" s="24" t="s">
        <v>336</v>
      </c>
      <c r="C40" s="11" t="s">
        <v>337</v>
      </c>
      <c r="D40" s="11" t="s">
        <v>88</v>
      </c>
      <c r="E40" s="11" t="s">
        <v>332</v>
      </c>
      <c r="F40" s="11" t="s">
        <v>398</v>
      </c>
      <c r="G40" s="11" t="s">
        <v>339</v>
      </c>
      <c r="H40" s="11" t="s">
        <v>339</v>
      </c>
      <c r="I40" s="19" t="s">
        <v>336</v>
      </c>
      <c r="J40" s="11" t="s">
        <v>89</v>
      </c>
    </row>
    <row r="41" customFormat="false" ht="15" hidden="false" customHeight="true" outlineLevel="0" collapsed="false">
      <c r="A41" s="11" t="s">
        <v>399</v>
      </c>
      <c r="B41" s="24" t="s">
        <v>336</v>
      </c>
      <c r="C41" s="11" t="s">
        <v>337</v>
      </c>
      <c r="D41" s="11" t="s">
        <v>88</v>
      </c>
      <c r="E41" s="11" t="s">
        <v>332</v>
      </c>
      <c r="F41" s="11" t="s">
        <v>338</v>
      </c>
      <c r="G41" s="11" t="s">
        <v>339</v>
      </c>
      <c r="H41" s="11" t="s">
        <v>339</v>
      </c>
      <c r="I41" s="19" t="s">
        <v>336</v>
      </c>
      <c r="J41" s="11" t="s">
        <v>89</v>
      </c>
    </row>
    <row r="42" customFormat="false" ht="15" hidden="false" customHeight="true" outlineLevel="0" collapsed="false">
      <c r="A42" s="11" t="s">
        <v>400</v>
      </c>
      <c r="B42" s="24" t="s">
        <v>401</v>
      </c>
      <c r="C42" s="11" t="s">
        <v>402</v>
      </c>
      <c r="D42" s="11" t="s">
        <v>88</v>
      </c>
      <c r="E42" s="11" t="s">
        <v>332</v>
      </c>
      <c r="F42" s="11" t="s">
        <v>350</v>
      </c>
      <c r="G42" s="11" t="s">
        <v>339</v>
      </c>
      <c r="H42" s="11" t="s">
        <v>220</v>
      </c>
      <c r="I42" s="11" t="s">
        <v>401</v>
      </c>
      <c r="J42" s="11" t="s">
        <v>89</v>
      </c>
    </row>
    <row r="43" customFormat="false" ht="15" hidden="false" customHeight="true" outlineLevel="0" collapsed="false">
      <c r="A43" s="11" t="s">
        <v>403</v>
      </c>
      <c r="B43" s="24" t="s">
        <v>404</v>
      </c>
      <c r="C43" s="11" t="s">
        <v>405</v>
      </c>
      <c r="D43" s="11" t="s">
        <v>88</v>
      </c>
      <c r="E43" s="11" t="s">
        <v>332</v>
      </c>
      <c r="F43" s="11" t="s">
        <v>357</v>
      </c>
      <c r="G43" s="11" t="s">
        <v>339</v>
      </c>
      <c r="H43" s="11" t="s">
        <v>311</v>
      </c>
      <c r="I43" s="11" t="s">
        <v>404</v>
      </c>
      <c r="J43" s="11" t="s">
        <v>89</v>
      </c>
    </row>
    <row r="44" customFormat="false" ht="15" hidden="false" customHeight="true" outlineLevel="0" collapsed="false">
      <c r="A44" s="11" t="s">
        <v>406</v>
      </c>
      <c r="B44" s="24" t="s">
        <v>85</v>
      </c>
      <c r="C44" s="11" t="s">
        <v>407</v>
      </c>
      <c r="D44" s="11" t="s">
        <v>88</v>
      </c>
      <c r="E44" s="11" t="s">
        <v>332</v>
      </c>
      <c r="F44" s="11" t="s">
        <v>408</v>
      </c>
      <c r="G44" s="11" t="s">
        <v>339</v>
      </c>
      <c r="H44" s="11" t="s">
        <v>189</v>
      </c>
      <c r="I44" s="11" t="s">
        <v>85</v>
      </c>
      <c r="J44" s="11" t="s">
        <v>89</v>
      </c>
    </row>
    <row r="45" customFormat="false" ht="15" hidden="false" customHeight="true" outlineLevel="0" collapsed="false">
      <c r="A45" s="11" t="s">
        <v>281</v>
      </c>
      <c r="B45" s="24" t="s">
        <v>341</v>
      </c>
      <c r="C45" s="11" t="s">
        <v>337</v>
      </c>
      <c r="D45" s="11" t="s">
        <v>156</v>
      </c>
      <c r="E45" s="11" t="s">
        <v>394</v>
      </c>
      <c r="F45" s="11" t="s">
        <v>277</v>
      </c>
      <c r="G45" s="11" t="s">
        <v>409</v>
      </c>
      <c r="H45" s="11" t="s">
        <v>339</v>
      </c>
      <c r="I45" s="19" t="s">
        <v>341</v>
      </c>
      <c r="J45" s="11" t="s">
        <v>89</v>
      </c>
    </row>
    <row r="46" customFormat="false" ht="15" hidden="false" customHeight="true" outlineLevel="0" collapsed="false">
      <c r="A46" s="23" t="s">
        <v>185</v>
      </c>
      <c r="B46" s="25" t="s">
        <v>336</v>
      </c>
      <c r="C46" s="23" t="s">
        <v>337</v>
      </c>
      <c r="D46" s="23" t="s">
        <v>156</v>
      </c>
      <c r="E46" s="23" t="s">
        <v>181</v>
      </c>
      <c r="F46" s="23" t="s">
        <v>180</v>
      </c>
      <c r="G46" s="23" t="s">
        <v>188</v>
      </c>
      <c r="H46" s="23" t="s">
        <v>190</v>
      </c>
      <c r="I46" s="26" t="s">
        <v>341</v>
      </c>
      <c r="J46" s="23" t="s">
        <v>89</v>
      </c>
    </row>
    <row r="47" customFormat="false" ht="15" hidden="false" customHeight="true" outlineLevel="0" collapsed="false">
      <c r="A47" s="23" t="s">
        <v>198</v>
      </c>
      <c r="B47" s="25" t="s">
        <v>336</v>
      </c>
      <c r="C47" s="23" t="s">
        <v>337</v>
      </c>
      <c r="D47" s="23" t="s">
        <v>156</v>
      </c>
      <c r="E47" s="23" t="s">
        <v>195</v>
      </c>
      <c r="F47" s="23" t="s">
        <v>194</v>
      </c>
      <c r="G47" s="23" t="s">
        <v>188</v>
      </c>
      <c r="H47" s="23" t="s">
        <v>190</v>
      </c>
      <c r="I47" s="26" t="s">
        <v>341</v>
      </c>
      <c r="J47" s="23" t="s">
        <v>89</v>
      </c>
    </row>
    <row r="48" customFormat="false" ht="15" hidden="false" customHeight="true" outlineLevel="0" collapsed="false">
      <c r="A48" s="23" t="s">
        <v>231</v>
      </c>
      <c r="B48" s="25" t="s">
        <v>336</v>
      </c>
      <c r="C48" s="23" t="s">
        <v>337</v>
      </c>
      <c r="D48" s="23" t="s">
        <v>156</v>
      </c>
      <c r="E48" s="23" t="s">
        <v>224</v>
      </c>
      <c r="F48" s="23" t="s">
        <v>228</v>
      </c>
      <c r="G48" s="23" t="s">
        <v>188</v>
      </c>
      <c r="H48" s="23" t="s">
        <v>190</v>
      </c>
      <c r="I48" s="26" t="s">
        <v>341</v>
      </c>
      <c r="J48" s="23" t="s">
        <v>89</v>
      </c>
    </row>
    <row r="49" customFormat="false" ht="15" hidden="false" customHeight="true" outlineLevel="0" collapsed="false">
      <c r="A49" s="23" t="s">
        <v>292</v>
      </c>
      <c r="B49" s="25" t="s">
        <v>336</v>
      </c>
      <c r="C49" s="23" t="s">
        <v>337</v>
      </c>
      <c r="D49" s="23" t="s">
        <v>156</v>
      </c>
      <c r="E49" s="23" t="s">
        <v>410</v>
      </c>
      <c r="F49" s="23" t="s">
        <v>288</v>
      </c>
      <c r="G49" s="23" t="s">
        <v>188</v>
      </c>
      <c r="H49" s="23" t="s">
        <v>190</v>
      </c>
      <c r="I49" s="26" t="s">
        <v>341</v>
      </c>
      <c r="J49" s="23" t="s">
        <v>89</v>
      </c>
    </row>
    <row r="50" customFormat="false" ht="15" hidden="false" customHeight="true" outlineLevel="0" collapsed="false">
      <c r="A50" s="23" t="s">
        <v>297</v>
      </c>
      <c r="B50" s="25" t="s">
        <v>336</v>
      </c>
      <c r="C50" s="23" t="s">
        <v>337</v>
      </c>
      <c r="D50" s="23" t="s">
        <v>156</v>
      </c>
      <c r="E50" s="23" t="s">
        <v>294</v>
      </c>
      <c r="F50" s="23" t="s">
        <v>293</v>
      </c>
      <c r="G50" s="23" t="s">
        <v>188</v>
      </c>
      <c r="H50" s="23" t="s">
        <v>190</v>
      </c>
      <c r="I50" s="26" t="s">
        <v>341</v>
      </c>
      <c r="J50" s="23" t="s">
        <v>89</v>
      </c>
    </row>
    <row r="51" customFormat="false" ht="15" hidden="false" customHeight="true" outlineLevel="0" collapsed="false">
      <c r="A51" s="23" t="s">
        <v>287</v>
      </c>
      <c r="B51" s="25" t="s">
        <v>341</v>
      </c>
      <c r="C51" s="23" t="s">
        <v>337</v>
      </c>
      <c r="D51" s="23" t="s">
        <v>156</v>
      </c>
      <c r="E51" s="23" t="s">
        <v>284</v>
      </c>
      <c r="F51" s="23" t="s">
        <v>283</v>
      </c>
      <c r="G51" s="23" t="s">
        <v>219</v>
      </c>
      <c r="H51" s="23" t="s">
        <v>220</v>
      </c>
      <c r="I51" s="26" t="s">
        <v>341</v>
      </c>
      <c r="J51" s="23" t="s">
        <v>89</v>
      </c>
    </row>
    <row r="52" customFormat="false" ht="15" hidden="false" customHeight="true" outlineLevel="0" collapsed="false">
      <c r="A52" s="23" t="s">
        <v>302</v>
      </c>
      <c r="B52" s="25" t="s">
        <v>341</v>
      </c>
      <c r="C52" s="23" t="s">
        <v>337</v>
      </c>
      <c r="D52" s="23" t="s">
        <v>156</v>
      </c>
      <c r="E52" s="23" t="s">
        <v>299</v>
      </c>
      <c r="F52" s="23" t="s">
        <v>298</v>
      </c>
      <c r="G52" s="23" t="s">
        <v>219</v>
      </c>
      <c r="H52" s="23" t="s">
        <v>220</v>
      </c>
      <c r="I52" s="26" t="s">
        <v>341</v>
      </c>
      <c r="J52" s="23" t="s">
        <v>89</v>
      </c>
    </row>
    <row r="53" customFormat="false" ht="15" hidden="false" customHeight="true" outlineLevel="0" collapsed="false">
      <c r="A53" s="23" t="s">
        <v>247</v>
      </c>
      <c r="B53" s="25" t="s">
        <v>336</v>
      </c>
      <c r="C53" s="23" t="s">
        <v>337</v>
      </c>
      <c r="D53" s="23" t="s">
        <v>156</v>
      </c>
      <c r="E53" s="23" t="s">
        <v>244</v>
      </c>
      <c r="F53" s="23" t="s">
        <v>243</v>
      </c>
      <c r="G53" s="23" t="s">
        <v>354</v>
      </c>
      <c r="H53" s="23" t="s">
        <v>240</v>
      </c>
      <c r="I53" s="26" t="s">
        <v>341</v>
      </c>
      <c r="J53" s="23" t="s">
        <v>89</v>
      </c>
    </row>
    <row r="54" customFormat="false" ht="15" hidden="false" customHeight="true" outlineLevel="0" collapsed="false">
      <c r="A54" s="23" t="s">
        <v>252</v>
      </c>
      <c r="B54" s="25" t="s">
        <v>336</v>
      </c>
      <c r="C54" s="23" t="s">
        <v>337</v>
      </c>
      <c r="D54" s="23" t="s">
        <v>156</v>
      </c>
      <c r="E54" s="23" t="s">
        <v>249</v>
      </c>
      <c r="F54" s="23" t="s">
        <v>248</v>
      </c>
      <c r="G54" s="23" t="s">
        <v>354</v>
      </c>
      <c r="H54" s="23" t="s">
        <v>240</v>
      </c>
      <c r="I54" s="26" t="s">
        <v>341</v>
      </c>
      <c r="J54" s="23" t="s">
        <v>89</v>
      </c>
    </row>
    <row r="55" customFormat="false" ht="15" hidden="false" customHeight="true" outlineLevel="0" collapsed="false">
      <c r="A55" s="23" t="s">
        <v>267</v>
      </c>
      <c r="B55" s="25" t="s">
        <v>336</v>
      </c>
      <c r="C55" s="23" t="s">
        <v>337</v>
      </c>
      <c r="D55" s="23" t="s">
        <v>156</v>
      </c>
      <c r="E55" s="23" t="s">
        <v>264</v>
      </c>
      <c r="F55" s="23" t="s">
        <v>263</v>
      </c>
      <c r="G55" s="23" t="s">
        <v>354</v>
      </c>
      <c r="H55" s="23" t="s">
        <v>240</v>
      </c>
      <c r="I55" s="26" t="s">
        <v>341</v>
      </c>
      <c r="J55" s="23" t="s">
        <v>89</v>
      </c>
    </row>
    <row r="56" customFormat="false" ht="15" hidden="false" customHeight="true" outlineLevel="0" collapsed="false">
      <c r="A56" s="23" t="s">
        <v>309</v>
      </c>
      <c r="B56" s="25" t="s">
        <v>336</v>
      </c>
      <c r="C56" s="23" t="s">
        <v>337</v>
      </c>
      <c r="D56" s="23" t="s">
        <v>156</v>
      </c>
      <c r="E56" s="23" t="s">
        <v>306</v>
      </c>
      <c r="F56" s="23" t="s">
        <v>305</v>
      </c>
      <c r="G56" s="23" t="s">
        <v>354</v>
      </c>
      <c r="H56" s="23" t="s">
        <v>311</v>
      </c>
      <c r="I56" s="26" t="s">
        <v>341</v>
      </c>
      <c r="J56" s="23" t="s">
        <v>89</v>
      </c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J4:J31" type="list">
      <formula1>"Pass,Fail,Pending,Blocked,N/A"</formula1>
      <formula2>0</formula2>
    </dataValidation>
    <dataValidation allowBlank="true" errorStyle="stop" operator="between" showDropDown="false" showErrorMessage="false" showInputMessage="false" sqref="J32:J44" type="list">
      <formula1>"Pass,Fail,Pending,Blocked,N/A"</formula1>
      <formula2>0</formula2>
    </dataValidation>
    <dataValidation allowBlank="true" errorStyle="stop" operator="between" showDropDown="false" showErrorMessage="false" showInputMessage="false" sqref="J46:J56" type="list">
      <formula1>"Pass,Fail,Pending,Blocked,N/A"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12"/>
    <col collapsed="false" customWidth="true" hidden="false" outlineLevel="0" max="11" min="11" style="1" width="13"/>
  </cols>
  <sheetData>
    <row r="1" customFormat="false" ht="33.75" hidden="false" customHeight="true" outlineLevel="0" collapsed="false">
      <c r="A1" s="2" t="s">
        <v>411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412</v>
      </c>
      <c r="B2" s="3"/>
      <c r="C2" s="3"/>
      <c r="D2" s="3"/>
      <c r="E2" s="3"/>
      <c r="F2" s="3"/>
      <c r="G2" s="3"/>
    </row>
    <row r="3" customFormat="false" ht="30" hidden="false" customHeight="true" outlineLevel="0" collapsed="false">
      <c r="A3" s="13" t="s">
        <v>164</v>
      </c>
      <c r="B3" s="13" t="s">
        <v>413</v>
      </c>
      <c r="C3" s="13" t="s">
        <v>414</v>
      </c>
      <c r="D3" s="13" t="s">
        <v>415</v>
      </c>
      <c r="E3" s="13" t="s">
        <v>416</v>
      </c>
      <c r="F3" s="13" t="s">
        <v>417</v>
      </c>
      <c r="G3" s="13" t="s">
        <v>418</v>
      </c>
      <c r="H3" s="13" t="s">
        <v>419</v>
      </c>
      <c r="I3" s="13" t="s">
        <v>420</v>
      </c>
      <c r="J3" s="13" t="s">
        <v>421</v>
      </c>
      <c r="K3" s="13" t="s">
        <v>422</v>
      </c>
    </row>
    <row r="4" customFormat="false" ht="21.75" hidden="false" customHeight="true" outlineLevel="0" collapsed="false">
      <c r="A4" s="14" t="s">
        <v>232</v>
      </c>
      <c r="B4" s="14" t="s">
        <v>423</v>
      </c>
      <c r="C4" s="14" t="s">
        <v>424</v>
      </c>
      <c r="D4" s="20" t="s">
        <v>425</v>
      </c>
      <c r="E4" s="14" t="s">
        <v>426</v>
      </c>
      <c r="F4" s="14" t="s">
        <v>427</v>
      </c>
      <c r="G4" s="11" t="s">
        <v>428</v>
      </c>
      <c r="H4" s="16" t="s">
        <v>85</v>
      </c>
      <c r="I4" s="16" t="s">
        <v>11</v>
      </c>
      <c r="J4" s="11" t="s">
        <v>429</v>
      </c>
      <c r="K4" s="11" t="s">
        <v>430</v>
      </c>
    </row>
    <row r="5" customFormat="false" ht="15" hidden="false" customHeight="true" outlineLevel="0" collapsed="false">
      <c r="A5" s="14" t="s">
        <v>243</v>
      </c>
      <c r="B5" s="14" t="s">
        <v>431</v>
      </c>
      <c r="C5" s="14" t="s">
        <v>432</v>
      </c>
      <c r="D5" s="20" t="s">
        <v>433</v>
      </c>
      <c r="E5" s="14" t="s">
        <v>426</v>
      </c>
      <c r="F5" s="14" t="s">
        <v>427</v>
      </c>
      <c r="G5" s="14" t="s">
        <v>434</v>
      </c>
      <c r="H5" s="16" t="s">
        <v>85</v>
      </c>
      <c r="I5" s="16" t="s">
        <v>11</v>
      </c>
      <c r="J5" s="11" t="s">
        <v>429</v>
      </c>
      <c r="K5" s="11" t="s">
        <v>430</v>
      </c>
    </row>
    <row r="6" customFormat="false" ht="15" hidden="false" customHeight="true" outlineLevel="0" collapsed="false">
      <c r="A6" s="14" t="s">
        <v>248</v>
      </c>
      <c r="B6" s="14" t="s">
        <v>250</v>
      </c>
      <c r="C6" s="14" t="s">
        <v>435</v>
      </c>
      <c r="D6" s="20" t="s">
        <v>433</v>
      </c>
      <c r="E6" s="14" t="s">
        <v>426</v>
      </c>
      <c r="F6" s="14" t="s">
        <v>427</v>
      </c>
      <c r="G6" s="14" t="s">
        <v>436</v>
      </c>
      <c r="H6" s="16" t="s">
        <v>85</v>
      </c>
      <c r="I6" s="16" t="s">
        <v>15</v>
      </c>
      <c r="J6" s="11" t="s">
        <v>429</v>
      </c>
      <c r="K6" s="11" t="s">
        <v>430</v>
      </c>
    </row>
    <row r="7" customFormat="false" ht="21.75" hidden="false" customHeight="true" outlineLevel="0" collapsed="false">
      <c r="A7" s="14" t="s">
        <v>263</v>
      </c>
      <c r="B7" s="14" t="s">
        <v>265</v>
      </c>
      <c r="C7" s="14" t="s">
        <v>437</v>
      </c>
      <c r="D7" s="20" t="s">
        <v>433</v>
      </c>
      <c r="E7" s="14" t="s">
        <v>438</v>
      </c>
      <c r="F7" s="14" t="s">
        <v>427</v>
      </c>
      <c r="G7" s="14" t="s">
        <v>436</v>
      </c>
      <c r="H7" s="16" t="s">
        <v>7</v>
      </c>
      <c r="I7" s="16" t="s">
        <v>11</v>
      </c>
      <c r="J7" s="11" t="s">
        <v>429</v>
      </c>
      <c r="K7" s="11" t="s">
        <v>430</v>
      </c>
    </row>
    <row r="8" customFormat="false" ht="15" hidden="false" customHeight="true" outlineLevel="0" collapsed="false">
      <c r="A8" s="14" t="s">
        <v>268</v>
      </c>
      <c r="B8" s="14" t="s">
        <v>270</v>
      </c>
      <c r="C8" s="14" t="s">
        <v>439</v>
      </c>
      <c r="D8" s="20" t="s">
        <v>433</v>
      </c>
      <c r="E8" s="14" t="s">
        <v>426</v>
      </c>
      <c r="F8" s="14" t="s">
        <v>427</v>
      </c>
      <c r="G8" s="14" t="s">
        <v>436</v>
      </c>
      <c r="H8" s="16" t="s">
        <v>85</v>
      </c>
      <c r="I8" s="16" t="s">
        <v>11</v>
      </c>
      <c r="J8" s="11" t="s">
        <v>429</v>
      </c>
      <c r="K8" s="11" t="s">
        <v>430</v>
      </c>
    </row>
    <row r="9" customFormat="false" ht="15" hidden="false" customHeight="true" outlineLevel="0" collapsed="false">
      <c r="A9" s="14" t="s">
        <v>277</v>
      </c>
      <c r="B9" s="14" t="s">
        <v>440</v>
      </c>
      <c r="C9" s="27" t="s">
        <v>441</v>
      </c>
      <c r="D9" s="22" t="s">
        <v>442</v>
      </c>
      <c r="E9" s="14" t="s">
        <v>426</v>
      </c>
      <c r="F9" s="28" t="s">
        <v>443</v>
      </c>
      <c r="G9" s="22" t="s">
        <v>444</v>
      </c>
      <c r="H9" s="28" t="s">
        <v>445</v>
      </c>
      <c r="I9" s="28" t="s">
        <v>339</v>
      </c>
      <c r="J9" s="11" t="s">
        <v>339</v>
      </c>
      <c r="K9" s="11" t="s">
        <v>430</v>
      </c>
    </row>
    <row r="10" customFormat="false" ht="15" hidden="false" customHeight="true" outlineLevel="0" collapsed="false">
      <c r="A10" s="14" t="s">
        <v>305</v>
      </c>
      <c r="B10" s="14" t="s">
        <v>446</v>
      </c>
      <c r="C10" s="14" t="s">
        <v>447</v>
      </c>
      <c r="D10" s="20" t="s">
        <v>433</v>
      </c>
      <c r="E10" s="14" t="s">
        <v>448</v>
      </c>
      <c r="F10" s="23" t="s">
        <v>310</v>
      </c>
      <c r="G10" s="14" t="s">
        <v>311</v>
      </c>
      <c r="H10" s="16" t="s">
        <v>7</v>
      </c>
      <c r="I10" s="16" t="s">
        <v>15</v>
      </c>
      <c r="J10" s="11" t="s">
        <v>429</v>
      </c>
      <c r="K10" s="11" t="s">
        <v>430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4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33.75" hidden="false" customHeight="true" outlineLevel="0" collapsed="false">
      <c r="A1" s="2" t="s">
        <v>449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450</v>
      </c>
      <c r="B2" s="3"/>
      <c r="C2" s="3"/>
      <c r="D2" s="3"/>
      <c r="E2" s="3"/>
      <c r="F2" s="3"/>
      <c r="G2" s="3"/>
    </row>
    <row r="3" customFormat="false" ht="30" hidden="false" customHeight="true" outlineLevel="0" collapsed="false">
      <c r="A3" s="13" t="s">
        <v>451</v>
      </c>
      <c r="B3" s="13" t="s">
        <v>452</v>
      </c>
      <c r="C3" s="13" t="s">
        <v>453</v>
      </c>
      <c r="D3" s="13" t="s">
        <v>454</v>
      </c>
      <c r="E3" s="13" t="s">
        <v>455</v>
      </c>
      <c r="F3" s="13" t="s">
        <v>456</v>
      </c>
      <c r="G3" s="13" t="s">
        <v>457</v>
      </c>
    </row>
    <row r="4" customFormat="false" ht="32.25" hidden="false" customHeight="true" outlineLevel="0" collapsed="false">
      <c r="A4" s="16" t="s">
        <v>458</v>
      </c>
      <c r="B4" s="18" t="s">
        <v>459</v>
      </c>
      <c r="C4" s="16" t="s">
        <v>460</v>
      </c>
      <c r="D4" s="14" t="s">
        <v>461</v>
      </c>
      <c r="E4" s="14" t="s">
        <v>462</v>
      </c>
      <c r="F4" s="14" t="s">
        <v>463</v>
      </c>
      <c r="G4" s="14" t="s">
        <v>89</v>
      </c>
    </row>
    <row r="5" customFormat="false" ht="21.75" hidden="false" customHeight="true" outlineLevel="0" collapsed="false">
      <c r="A5" s="16" t="s">
        <v>464</v>
      </c>
      <c r="B5" s="18" t="s">
        <v>465</v>
      </c>
      <c r="C5" s="16" t="s">
        <v>460</v>
      </c>
      <c r="D5" s="14" t="s">
        <v>466</v>
      </c>
      <c r="E5" s="14" t="s">
        <v>462</v>
      </c>
      <c r="F5" s="14" t="s">
        <v>467</v>
      </c>
      <c r="G5" s="14" t="s">
        <v>89</v>
      </c>
    </row>
    <row r="6" customFormat="false" ht="21.75" hidden="false" customHeight="true" outlineLevel="0" collapsed="false">
      <c r="A6" s="16" t="s">
        <v>468</v>
      </c>
      <c r="B6" s="18" t="s">
        <v>469</v>
      </c>
      <c r="C6" s="16" t="s">
        <v>460</v>
      </c>
      <c r="D6" s="14" t="s">
        <v>141</v>
      </c>
      <c r="E6" s="14" t="s">
        <v>470</v>
      </c>
      <c r="F6" s="14" t="s">
        <v>467</v>
      </c>
      <c r="G6" s="14" t="s">
        <v>89</v>
      </c>
    </row>
    <row r="8" customFormat="false" ht="15" hidden="false" customHeight="true" outlineLevel="0" collapsed="false">
      <c r="A8" s="29" t="s">
        <v>471</v>
      </c>
      <c r="B8" s="29"/>
      <c r="C8" s="29"/>
      <c r="D8" s="29"/>
      <c r="E8" s="29"/>
      <c r="F8" s="29"/>
      <c r="G8" s="29"/>
    </row>
    <row r="9" customFormat="false" ht="30" hidden="false" customHeight="true" outlineLevel="0" collapsed="false">
      <c r="A9" s="13" t="s">
        <v>472</v>
      </c>
      <c r="B9" s="13" t="s">
        <v>473</v>
      </c>
      <c r="C9" s="13" t="s">
        <v>474</v>
      </c>
      <c r="D9" s="13" t="s">
        <v>475</v>
      </c>
      <c r="E9" s="13" t="s">
        <v>476</v>
      </c>
      <c r="F9" s="13" t="s">
        <v>477</v>
      </c>
      <c r="G9" s="13" t="s">
        <v>478</v>
      </c>
    </row>
    <row r="10" customFormat="false" ht="15" hidden="false" customHeight="true" outlineLevel="0" collapsed="false">
      <c r="A10" s="14" t="s">
        <v>479</v>
      </c>
      <c r="B10" s="14" t="s">
        <v>480</v>
      </c>
      <c r="C10" s="14" t="s">
        <v>480</v>
      </c>
      <c r="D10" s="14" t="s">
        <v>480</v>
      </c>
      <c r="E10" s="14" t="s">
        <v>480</v>
      </c>
      <c r="F10" s="14" t="s">
        <v>141</v>
      </c>
      <c r="G10" s="14" t="s">
        <v>481</v>
      </c>
    </row>
    <row r="11" customFormat="false" ht="15" hidden="false" customHeight="true" outlineLevel="0" collapsed="false">
      <c r="A11" s="17" t="s">
        <v>482</v>
      </c>
      <c r="B11" s="14" t="s">
        <v>188</v>
      </c>
      <c r="C11" s="14" t="s">
        <v>358</v>
      </c>
      <c r="D11" s="14" t="s">
        <v>358</v>
      </c>
      <c r="E11" s="14" t="s">
        <v>354</v>
      </c>
      <c r="F11" s="14" t="s">
        <v>141</v>
      </c>
      <c r="G11" s="14" t="s">
        <v>483</v>
      </c>
    </row>
    <row r="12" customFormat="false" ht="15" hidden="false" customHeight="true" outlineLevel="0" collapsed="false">
      <c r="A12" s="14" t="s">
        <v>484</v>
      </c>
      <c r="B12" s="14" t="s">
        <v>480</v>
      </c>
      <c r="C12" s="14" t="s">
        <v>480</v>
      </c>
      <c r="D12" s="14" t="s">
        <v>480</v>
      </c>
      <c r="E12" s="14" t="s">
        <v>480</v>
      </c>
      <c r="F12" s="14" t="s">
        <v>141</v>
      </c>
      <c r="G12" s="14" t="s">
        <v>485</v>
      </c>
    </row>
    <row r="13" customFormat="false" ht="15" hidden="false" customHeight="true" outlineLevel="0" collapsed="false">
      <c r="A13" s="14" t="s">
        <v>486</v>
      </c>
      <c r="B13" s="14" t="s">
        <v>188</v>
      </c>
      <c r="C13" s="14" t="s">
        <v>358</v>
      </c>
      <c r="D13" s="14" t="s">
        <v>358</v>
      </c>
      <c r="E13" s="14" t="s">
        <v>141</v>
      </c>
      <c r="F13" s="14" t="s">
        <v>487</v>
      </c>
      <c r="G13" s="14" t="s">
        <v>488</v>
      </c>
    </row>
    <row r="14" customFormat="false" ht="15" hidden="false" customHeight="true" outlineLevel="0" collapsed="false">
      <c r="A14" s="14" t="s">
        <v>489</v>
      </c>
      <c r="B14" s="14" t="s">
        <v>480</v>
      </c>
      <c r="C14" s="14" t="s">
        <v>480</v>
      </c>
      <c r="D14" s="14" t="s">
        <v>480</v>
      </c>
      <c r="E14" s="14" t="s">
        <v>480</v>
      </c>
      <c r="F14" s="14" t="s">
        <v>141</v>
      </c>
      <c r="G14" s="14" t="s">
        <v>490</v>
      </c>
    </row>
    <row r="15" customFormat="false" ht="15" hidden="false" customHeight="true" outlineLevel="0" collapsed="false">
      <c r="A15" s="14" t="s">
        <v>491</v>
      </c>
      <c r="B15" s="14" t="s">
        <v>188</v>
      </c>
      <c r="C15" s="14" t="s">
        <v>358</v>
      </c>
      <c r="D15" s="14" t="s">
        <v>358</v>
      </c>
      <c r="E15" s="14" t="s">
        <v>492</v>
      </c>
      <c r="F15" s="14" t="s">
        <v>493</v>
      </c>
      <c r="G15" s="14" t="s">
        <v>494</v>
      </c>
    </row>
    <row r="16" customFormat="false" ht="15" hidden="false" customHeight="true" outlineLevel="0" collapsed="false">
      <c r="A16" s="14" t="s">
        <v>495</v>
      </c>
      <c r="B16" s="14" t="s">
        <v>188</v>
      </c>
      <c r="C16" s="14" t="s">
        <v>358</v>
      </c>
      <c r="D16" s="14" t="s">
        <v>358</v>
      </c>
      <c r="E16" s="14" t="s">
        <v>492</v>
      </c>
      <c r="F16" s="14" t="s">
        <v>141</v>
      </c>
      <c r="G16" s="14" t="s">
        <v>496</v>
      </c>
    </row>
    <row r="18" customFormat="false" ht="15" hidden="false" customHeight="true" outlineLevel="0" collapsed="false">
      <c r="A18" s="30" t="s">
        <v>497</v>
      </c>
      <c r="B18" s="30"/>
      <c r="C18" s="30"/>
      <c r="D18" s="30"/>
      <c r="E18" s="30"/>
      <c r="F18" s="30"/>
      <c r="G18" s="30"/>
    </row>
    <row r="19" customFormat="false" ht="23.25" hidden="false" customHeight="true" outlineLevel="0" collapsed="false">
      <c r="A19" s="13" t="s">
        <v>498</v>
      </c>
      <c r="B19" s="13" t="s">
        <v>499</v>
      </c>
      <c r="C19" s="13" t="s">
        <v>500</v>
      </c>
      <c r="D19" s="13" t="s">
        <v>501</v>
      </c>
      <c r="E19" s="13" t="s">
        <v>502</v>
      </c>
      <c r="F19" s="13" t="s">
        <v>503</v>
      </c>
      <c r="G19" s="13" t="s">
        <v>326</v>
      </c>
    </row>
    <row r="20" customFormat="false" ht="32.25" hidden="false" customHeight="true" outlineLevel="0" collapsed="false">
      <c r="A20" s="11" t="s">
        <v>504</v>
      </c>
      <c r="B20" s="11" t="s">
        <v>505</v>
      </c>
      <c r="C20" s="11" t="s">
        <v>480</v>
      </c>
      <c r="D20" s="11" t="s">
        <v>141</v>
      </c>
      <c r="E20" s="11" t="s">
        <v>506</v>
      </c>
      <c r="F20" s="11" t="s">
        <v>89</v>
      </c>
      <c r="G20" s="11" t="s">
        <v>88</v>
      </c>
    </row>
    <row r="21" customFormat="false" ht="32.25" hidden="false" customHeight="true" outlineLevel="0" collapsed="false">
      <c r="A21" s="11" t="s">
        <v>507</v>
      </c>
      <c r="B21" s="11" t="s">
        <v>508</v>
      </c>
      <c r="C21" s="11" t="s">
        <v>480</v>
      </c>
      <c r="D21" s="11" t="s">
        <v>141</v>
      </c>
      <c r="E21" s="11" t="s">
        <v>509</v>
      </c>
      <c r="F21" s="11" t="s">
        <v>89</v>
      </c>
      <c r="G21" s="11" t="s">
        <v>88</v>
      </c>
    </row>
    <row r="22" customFormat="false" ht="32.25" hidden="false" customHeight="true" outlineLevel="0" collapsed="false">
      <c r="A22" s="11" t="s">
        <v>510</v>
      </c>
      <c r="B22" s="11" t="s">
        <v>511</v>
      </c>
      <c r="C22" s="11" t="s">
        <v>219</v>
      </c>
      <c r="D22" s="11" t="s">
        <v>512</v>
      </c>
      <c r="E22" s="11" t="s">
        <v>513</v>
      </c>
      <c r="F22" s="11" t="s">
        <v>89</v>
      </c>
      <c r="G22" s="11" t="s">
        <v>88</v>
      </c>
    </row>
    <row r="23" customFormat="false" ht="32.25" hidden="false" customHeight="true" outlineLevel="0" collapsed="false">
      <c r="A23" s="11" t="s">
        <v>514</v>
      </c>
      <c r="B23" s="11" t="s">
        <v>515</v>
      </c>
      <c r="C23" s="11" t="s">
        <v>480</v>
      </c>
      <c r="D23" s="11" t="s">
        <v>141</v>
      </c>
      <c r="E23" s="11" t="s">
        <v>516</v>
      </c>
      <c r="F23" s="11" t="s">
        <v>89</v>
      </c>
      <c r="G23" s="11" t="s">
        <v>88</v>
      </c>
    </row>
    <row r="24" customFormat="false" ht="32.25" hidden="false" customHeight="true" outlineLevel="0" collapsed="false">
      <c r="A24" s="11" t="s">
        <v>517</v>
      </c>
      <c r="B24" s="11" t="s">
        <v>518</v>
      </c>
      <c r="C24" s="11" t="s">
        <v>480</v>
      </c>
      <c r="D24" s="11" t="s">
        <v>141</v>
      </c>
      <c r="E24" s="11" t="s">
        <v>519</v>
      </c>
      <c r="F24" s="11" t="s">
        <v>89</v>
      </c>
      <c r="G24" s="11" t="s">
        <v>88</v>
      </c>
    </row>
    <row r="25" customFormat="false" ht="32.25" hidden="false" customHeight="true" outlineLevel="0" collapsed="false">
      <c r="A25" s="11" t="s">
        <v>520</v>
      </c>
      <c r="B25" s="11" t="s">
        <v>521</v>
      </c>
      <c r="C25" s="11" t="s">
        <v>219</v>
      </c>
      <c r="D25" s="11" t="s">
        <v>141</v>
      </c>
      <c r="E25" s="11" t="s">
        <v>522</v>
      </c>
      <c r="F25" s="11" t="s">
        <v>89</v>
      </c>
      <c r="G25" s="11" t="s">
        <v>88</v>
      </c>
    </row>
    <row r="26" customFormat="false" ht="32.25" hidden="false" customHeight="true" outlineLevel="0" collapsed="false">
      <c r="A26" s="11" t="s">
        <v>523</v>
      </c>
      <c r="B26" s="11" t="s">
        <v>524</v>
      </c>
      <c r="C26" s="11" t="s">
        <v>480</v>
      </c>
      <c r="D26" s="11" t="s">
        <v>141</v>
      </c>
      <c r="E26" s="11" t="s">
        <v>525</v>
      </c>
      <c r="F26" s="11" t="s">
        <v>89</v>
      </c>
      <c r="G26" s="11" t="s">
        <v>88</v>
      </c>
    </row>
    <row r="27" customFormat="false" ht="21.75" hidden="false" customHeight="true" outlineLevel="0" collapsed="false">
      <c r="A27" s="11" t="s">
        <v>526</v>
      </c>
      <c r="B27" s="11" t="s">
        <v>527</v>
      </c>
      <c r="C27" s="11" t="s">
        <v>480</v>
      </c>
      <c r="D27" s="11" t="s">
        <v>141</v>
      </c>
      <c r="E27" s="11" t="s">
        <v>528</v>
      </c>
      <c r="F27" s="11" t="s">
        <v>89</v>
      </c>
      <c r="G27" s="11" t="s">
        <v>88</v>
      </c>
    </row>
    <row r="28" customFormat="false" ht="42.75" hidden="false" customHeight="true" outlineLevel="0" collapsed="false">
      <c r="A28" s="11" t="s">
        <v>529</v>
      </c>
      <c r="B28" s="11" t="s">
        <v>530</v>
      </c>
      <c r="C28" s="11" t="s">
        <v>219</v>
      </c>
      <c r="D28" s="11" t="s">
        <v>141</v>
      </c>
      <c r="E28" s="11" t="s">
        <v>531</v>
      </c>
      <c r="F28" s="11" t="s">
        <v>89</v>
      </c>
      <c r="G28" s="11" t="s">
        <v>88</v>
      </c>
    </row>
    <row r="29" customFormat="false" ht="74.25" hidden="false" customHeight="true" outlineLevel="0" collapsed="false">
      <c r="A29" s="16" t="s">
        <v>532</v>
      </c>
      <c r="B29" s="11" t="s">
        <v>533</v>
      </c>
      <c r="C29" s="11" t="s">
        <v>219</v>
      </c>
      <c r="D29" s="11" t="s">
        <v>219</v>
      </c>
      <c r="E29" s="11" t="s">
        <v>534</v>
      </c>
      <c r="F29" s="11" t="s">
        <v>89</v>
      </c>
      <c r="G29" s="11" t="s">
        <v>88</v>
      </c>
    </row>
    <row r="31" customFormat="false" ht="15" hidden="false" customHeight="true" outlineLevel="0" collapsed="false">
      <c r="A31" s="31" t="s">
        <v>535</v>
      </c>
      <c r="B31" s="31"/>
      <c r="C31" s="31"/>
      <c r="D31" s="31"/>
      <c r="E31" s="31"/>
      <c r="F31" s="31"/>
      <c r="G31" s="31"/>
    </row>
    <row r="33" customFormat="false" ht="15" hidden="false" customHeight="true" outlineLevel="0" collapsed="false">
      <c r="A33" s="30" t="s">
        <v>536</v>
      </c>
      <c r="B33" s="30"/>
      <c r="C33" s="30"/>
      <c r="D33" s="30"/>
      <c r="E33" s="30"/>
      <c r="F33" s="30"/>
      <c r="G33" s="30"/>
    </row>
    <row r="34" customFormat="false" ht="31.5" hidden="false" customHeight="true" outlineLevel="0" collapsed="false">
      <c r="A34" s="32" t="s">
        <v>537</v>
      </c>
      <c r="B34" s="32"/>
      <c r="C34" s="32"/>
      <c r="D34" s="32"/>
      <c r="E34" s="32"/>
      <c r="F34" s="32"/>
      <c r="G34" s="32"/>
    </row>
    <row r="35" customFormat="false" ht="25.5" hidden="false" customHeight="true" outlineLevel="0" collapsed="false">
      <c r="A35" s="33" t="s">
        <v>538</v>
      </c>
      <c r="B35" s="33"/>
      <c r="C35" s="33"/>
      <c r="D35" s="33"/>
      <c r="E35" s="33"/>
      <c r="F35" s="33"/>
      <c r="G35" s="33"/>
    </row>
    <row r="36" customFormat="false" ht="31.5" hidden="false" customHeight="true" outlineLevel="0" collapsed="false">
      <c r="A36" s="32" t="s">
        <v>539</v>
      </c>
      <c r="B36" s="32"/>
      <c r="C36" s="32"/>
      <c r="D36" s="32"/>
      <c r="E36" s="32"/>
      <c r="F36" s="32"/>
      <c r="G36" s="32"/>
    </row>
    <row r="37" customFormat="false" ht="25.5" hidden="false" customHeight="true" outlineLevel="0" collapsed="false">
      <c r="A37" s="32" t="s">
        <v>540</v>
      </c>
      <c r="B37" s="32"/>
      <c r="C37" s="32"/>
      <c r="D37" s="32"/>
      <c r="E37" s="32"/>
      <c r="F37" s="32"/>
      <c r="G37" s="32"/>
    </row>
    <row r="38" customFormat="false" ht="25.5" hidden="false" customHeight="true" outlineLevel="0" collapsed="false">
      <c r="A38" s="32" t="s">
        <v>541</v>
      </c>
      <c r="B38" s="32"/>
      <c r="C38" s="32"/>
      <c r="D38" s="32"/>
      <c r="E38" s="32"/>
      <c r="F38" s="32"/>
      <c r="G38" s="32"/>
    </row>
  </sheetData>
  <mergeCells count="11">
    <mergeCell ref="A1:G1"/>
    <mergeCell ref="A2:G2"/>
    <mergeCell ref="A8:G8"/>
    <mergeCell ref="A18:G18"/>
    <mergeCell ref="A31:G31"/>
    <mergeCell ref="A33:G33"/>
    <mergeCell ref="A34:G34"/>
    <mergeCell ref="A35:G35"/>
    <mergeCell ref="A36:G36"/>
    <mergeCell ref="A37:G37"/>
    <mergeCell ref="A38:G38"/>
  </mergeCells>
  <dataValidations count="1">
    <dataValidation allowBlank="true" errorStyle="stop" operator="between" showDropDown="false" showErrorMessage="false" showInputMessage="false" sqref="F20:F29" type="list">
      <formula1>"Pass,Fail,Pending,Blocked,N/A"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40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3" min="12" style="1" width="12"/>
  </cols>
  <sheetData>
    <row r="1" customFormat="false" ht="33.75" hidden="false" customHeight="true" outlineLevel="0" collapsed="false">
      <c r="A1" s="2" t="s">
        <v>542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543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34" t="s">
        <v>544</v>
      </c>
      <c r="B3" s="35" t="n">
        <f aca="false">COUNTIF(F7:F500,"Pass")</f>
        <v>0</v>
      </c>
    </row>
    <row r="4" customFormat="false" ht="15" hidden="false" customHeight="true" outlineLevel="0" collapsed="false">
      <c r="A4" s="34" t="s">
        <v>545</v>
      </c>
      <c r="B4" s="35" t="n">
        <f aca="false">COUNTIF(F7:F500,"Fail")</f>
        <v>0</v>
      </c>
    </row>
    <row r="5" customFormat="false" ht="15" hidden="false" customHeight="true" outlineLevel="0" collapsed="false">
      <c r="A5" s="34" t="s">
        <v>89</v>
      </c>
      <c r="B5" s="35" t="n">
        <f aca="false">COUNTIF(F7:F500,"Pending")</f>
        <v>48</v>
      </c>
    </row>
    <row r="6" customFormat="false" ht="30" hidden="false" customHeight="true" outlineLevel="0" collapsed="false">
      <c r="A6" s="13" t="s">
        <v>546</v>
      </c>
      <c r="B6" s="13" t="s">
        <v>547</v>
      </c>
      <c r="C6" s="13" t="s">
        <v>548</v>
      </c>
      <c r="D6" s="13" t="s">
        <v>549</v>
      </c>
      <c r="E6" s="13" t="s">
        <v>550</v>
      </c>
      <c r="F6" s="13" t="s">
        <v>551</v>
      </c>
      <c r="G6" s="13" t="s">
        <v>552</v>
      </c>
      <c r="H6" s="13" t="s">
        <v>553</v>
      </c>
      <c r="I6" s="13" t="s">
        <v>502</v>
      </c>
      <c r="J6" s="13" t="s">
        <v>554</v>
      </c>
      <c r="K6" s="13" t="s">
        <v>555</v>
      </c>
      <c r="L6" s="13" t="s">
        <v>556</v>
      </c>
      <c r="M6" s="13" t="s">
        <v>557</v>
      </c>
    </row>
    <row r="7" customFormat="false" ht="19.5" hidden="false" customHeight="true" outlineLevel="0" collapsed="false">
      <c r="A7" s="36" t="s">
        <v>558</v>
      </c>
      <c r="B7" s="36"/>
      <c r="C7" s="36"/>
      <c r="D7" s="36"/>
      <c r="E7" s="36"/>
      <c r="F7" s="36"/>
      <c r="G7" s="36"/>
      <c r="H7" s="36"/>
      <c r="I7" s="36"/>
    </row>
    <row r="8" customFormat="false" ht="15" hidden="false" customHeight="true" outlineLevel="0" collapsed="false">
      <c r="A8" s="14" t="s">
        <v>559</v>
      </c>
      <c r="B8" s="15" t="s">
        <v>213</v>
      </c>
      <c r="C8" s="14" t="s">
        <v>560</v>
      </c>
      <c r="D8" s="14" t="s">
        <v>561</v>
      </c>
      <c r="E8" s="14"/>
      <c r="F8" s="14" t="s">
        <v>89</v>
      </c>
      <c r="G8" s="14" t="s">
        <v>562</v>
      </c>
      <c r="H8" s="14"/>
      <c r="I8" s="14"/>
      <c r="J8" s="11"/>
      <c r="K8" s="11"/>
      <c r="L8" s="11"/>
      <c r="M8" s="11"/>
    </row>
    <row r="9" customFormat="false" ht="15" hidden="false" customHeight="true" outlineLevel="0" collapsed="false">
      <c r="A9" s="14" t="s">
        <v>563</v>
      </c>
      <c r="B9" s="15" t="s">
        <v>213</v>
      </c>
      <c r="C9" s="14" t="s">
        <v>564</v>
      </c>
      <c r="D9" s="14" t="s">
        <v>565</v>
      </c>
      <c r="E9" s="14"/>
      <c r="F9" s="14" t="s">
        <v>89</v>
      </c>
      <c r="G9" s="14" t="s">
        <v>562</v>
      </c>
      <c r="H9" s="14"/>
      <c r="I9" s="14"/>
      <c r="J9" s="11"/>
      <c r="K9" s="11"/>
      <c r="L9" s="11"/>
      <c r="M9" s="11"/>
    </row>
    <row r="10" customFormat="false" ht="15" hidden="false" customHeight="true" outlineLevel="0" collapsed="false">
      <c r="A10" s="14" t="s">
        <v>566</v>
      </c>
      <c r="B10" s="15" t="s">
        <v>213</v>
      </c>
      <c r="C10" s="14" t="s">
        <v>567</v>
      </c>
      <c r="D10" s="14" t="s">
        <v>568</v>
      </c>
      <c r="E10" s="14"/>
      <c r="F10" s="14" t="s">
        <v>89</v>
      </c>
      <c r="G10" s="14" t="s">
        <v>569</v>
      </c>
      <c r="H10" s="14"/>
      <c r="I10" s="14"/>
      <c r="J10" s="11"/>
      <c r="K10" s="11"/>
      <c r="L10" s="11"/>
      <c r="M10" s="11"/>
    </row>
    <row r="11" customFormat="false" ht="15" hidden="false" customHeight="true" outlineLevel="0" collapsed="false">
      <c r="A11" s="14" t="s">
        <v>570</v>
      </c>
      <c r="B11" s="15" t="s">
        <v>213</v>
      </c>
      <c r="C11" s="14" t="s">
        <v>571</v>
      </c>
      <c r="D11" s="14" t="s">
        <v>572</v>
      </c>
      <c r="E11" s="14"/>
      <c r="F11" s="14" t="s">
        <v>89</v>
      </c>
      <c r="G11" s="14" t="s">
        <v>573</v>
      </c>
      <c r="H11" s="14"/>
      <c r="I11" s="14"/>
      <c r="J11" s="11"/>
      <c r="K11" s="11"/>
      <c r="L11" s="11"/>
      <c r="M11" s="11"/>
    </row>
    <row r="12" customFormat="false" ht="15" hidden="false" customHeight="true" outlineLevel="0" collapsed="false">
      <c r="A12" s="14" t="s">
        <v>574</v>
      </c>
      <c r="B12" s="15" t="s">
        <v>213</v>
      </c>
      <c r="C12" s="14" t="s">
        <v>575</v>
      </c>
      <c r="D12" s="14" t="s">
        <v>576</v>
      </c>
      <c r="E12" s="14"/>
      <c r="F12" s="14" t="s">
        <v>89</v>
      </c>
      <c r="G12" s="14" t="s">
        <v>569</v>
      </c>
      <c r="H12" s="14"/>
      <c r="I12" s="14"/>
      <c r="J12" s="11"/>
      <c r="K12" s="11"/>
      <c r="L12" s="11"/>
      <c r="M12" s="11"/>
    </row>
    <row r="13" customFormat="false" ht="15" hidden="false" customHeight="true" outlineLevel="0" collapsed="false">
      <c r="A13" s="14" t="s">
        <v>577</v>
      </c>
      <c r="B13" s="15" t="s">
        <v>213</v>
      </c>
      <c r="C13" s="14" t="s">
        <v>578</v>
      </c>
      <c r="D13" s="14" t="s">
        <v>579</v>
      </c>
      <c r="E13" s="14"/>
      <c r="F13" s="14" t="s">
        <v>89</v>
      </c>
      <c r="G13" s="14" t="s">
        <v>569</v>
      </c>
      <c r="H13" s="14"/>
      <c r="I13" s="14"/>
      <c r="J13" s="11"/>
      <c r="K13" s="11"/>
      <c r="L13" s="11"/>
      <c r="M13" s="11"/>
    </row>
    <row r="14" customFormat="false" ht="15" hidden="false" customHeight="true" outlineLevel="0" collapsed="false">
      <c r="A14" s="14" t="s">
        <v>580</v>
      </c>
      <c r="B14" s="15" t="s">
        <v>213</v>
      </c>
      <c r="C14" s="14" t="s">
        <v>581</v>
      </c>
      <c r="D14" s="14" t="s">
        <v>582</v>
      </c>
      <c r="E14" s="14"/>
      <c r="F14" s="14" t="s">
        <v>89</v>
      </c>
      <c r="G14" s="14" t="s">
        <v>562</v>
      </c>
      <c r="H14" s="14"/>
      <c r="I14" s="14"/>
      <c r="J14" s="11"/>
      <c r="K14" s="11"/>
      <c r="L14" s="11"/>
      <c r="M14" s="11"/>
    </row>
    <row r="15" customFormat="false" ht="19.5" hidden="false" customHeight="true" outlineLevel="0" collapsed="false">
      <c r="A15" s="36" t="s">
        <v>583</v>
      </c>
      <c r="B15" s="36"/>
      <c r="C15" s="36"/>
      <c r="D15" s="36"/>
      <c r="E15" s="36"/>
      <c r="F15" s="36"/>
      <c r="G15" s="36"/>
      <c r="H15" s="36"/>
      <c r="I15" s="36"/>
    </row>
    <row r="16" customFormat="false" ht="15" hidden="false" customHeight="true" outlineLevel="0" collapsed="false">
      <c r="A16" s="14" t="s">
        <v>584</v>
      </c>
      <c r="B16" s="21" t="s">
        <v>315</v>
      </c>
      <c r="C16" s="14" t="s">
        <v>585</v>
      </c>
      <c r="D16" s="14" t="s">
        <v>586</v>
      </c>
      <c r="E16" s="14"/>
      <c r="F16" s="14" t="s">
        <v>89</v>
      </c>
      <c r="G16" s="14" t="s">
        <v>562</v>
      </c>
      <c r="H16" s="14"/>
      <c r="I16" s="14"/>
      <c r="J16" s="11"/>
      <c r="K16" s="11"/>
      <c r="L16" s="11"/>
      <c r="M16" s="11"/>
    </row>
    <row r="17" customFormat="false" ht="15" hidden="false" customHeight="true" outlineLevel="0" collapsed="false">
      <c r="A17" s="14" t="s">
        <v>587</v>
      </c>
      <c r="B17" s="21" t="s">
        <v>315</v>
      </c>
      <c r="C17" s="14" t="s">
        <v>588</v>
      </c>
      <c r="D17" s="14" t="s">
        <v>565</v>
      </c>
      <c r="E17" s="14"/>
      <c r="F17" s="14" t="s">
        <v>89</v>
      </c>
      <c r="G17" s="14" t="s">
        <v>562</v>
      </c>
      <c r="H17" s="14"/>
      <c r="I17" s="14"/>
      <c r="J17" s="11"/>
      <c r="K17" s="11"/>
      <c r="L17" s="11"/>
      <c r="M17" s="11"/>
    </row>
    <row r="18" customFormat="false" ht="15" hidden="false" customHeight="true" outlineLevel="0" collapsed="false">
      <c r="A18" s="14" t="s">
        <v>589</v>
      </c>
      <c r="B18" s="21" t="s">
        <v>315</v>
      </c>
      <c r="C18" s="14" t="s">
        <v>590</v>
      </c>
      <c r="D18" s="14" t="s">
        <v>591</v>
      </c>
      <c r="E18" s="14"/>
      <c r="F18" s="14" t="s">
        <v>89</v>
      </c>
      <c r="G18" s="14" t="s">
        <v>569</v>
      </c>
      <c r="H18" s="14"/>
      <c r="I18" s="14"/>
      <c r="J18" s="11"/>
      <c r="K18" s="11"/>
      <c r="L18" s="11"/>
      <c r="M18" s="11"/>
    </row>
    <row r="19" customFormat="false" ht="15" hidden="false" customHeight="true" outlineLevel="0" collapsed="false">
      <c r="A19" s="14" t="s">
        <v>592</v>
      </c>
      <c r="B19" s="21" t="s">
        <v>315</v>
      </c>
      <c r="C19" s="14" t="s">
        <v>593</v>
      </c>
      <c r="D19" s="14" t="s">
        <v>594</v>
      </c>
      <c r="E19" s="14"/>
      <c r="F19" s="14" t="s">
        <v>89</v>
      </c>
      <c r="G19" s="14" t="s">
        <v>569</v>
      </c>
      <c r="H19" s="14"/>
      <c r="I19" s="14"/>
      <c r="J19" s="11"/>
      <c r="K19" s="11"/>
      <c r="L19" s="11"/>
      <c r="M19" s="11"/>
    </row>
    <row r="20" customFormat="false" ht="15" hidden="false" customHeight="true" outlineLevel="0" collapsed="false">
      <c r="A20" s="14" t="s">
        <v>595</v>
      </c>
      <c r="B20" s="21" t="s">
        <v>315</v>
      </c>
      <c r="C20" s="14" t="s">
        <v>596</v>
      </c>
      <c r="D20" s="14" t="s">
        <v>594</v>
      </c>
      <c r="E20" s="14"/>
      <c r="F20" s="14" t="s">
        <v>89</v>
      </c>
      <c r="G20" s="14" t="s">
        <v>569</v>
      </c>
      <c r="H20" s="14"/>
      <c r="I20" s="14"/>
      <c r="J20" s="11"/>
      <c r="K20" s="11"/>
      <c r="L20" s="11"/>
      <c r="M20" s="11"/>
    </row>
    <row r="21" customFormat="false" ht="15" hidden="false" customHeight="true" outlineLevel="0" collapsed="false">
      <c r="A21" s="14" t="s">
        <v>597</v>
      </c>
      <c r="B21" s="21" t="s">
        <v>315</v>
      </c>
      <c r="C21" s="14" t="s">
        <v>598</v>
      </c>
      <c r="D21" s="14" t="s">
        <v>594</v>
      </c>
      <c r="E21" s="14"/>
      <c r="F21" s="14" t="s">
        <v>89</v>
      </c>
      <c r="G21" s="14" t="s">
        <v>562</v>
      </c>
      <c r="H21" s="14"/>
      <c r="I21" s="14"/>
      <c r="J21" s="11"/>
      <c r="K21" s="11"/>
      <c r="L21" s="11"/>
      <c r="M21" s="11"/>
    </row>
    <row r="22" customFormat="false" ht="15" hidden="false" customHeight="true" outlineLevel="0" collapsed="false">
      <c r="A22" s="14" t="s">
        <v>599</v>
      </c>
      <c r="B22" s="21" t="s">
        <v>315</v>
      </c>
      <c r="C22" s="14" t="s">
        <v>600</v>
      </c>
      <c r="D22" s="14" t="s">
        <v>601</v>
      </c>
      <c r="E22" s="14"/>
      <c r="F22" s="14" t="s">
        <v>89</v>
      </c>
      <c r="G22" s="14" t="s">
        <v>569</v>
      </c>
      <c r="H22" s="14"/>
      <c r="I22" s="14"/>
      <c r="J22" s="11"/>
      <c r="K22" s="11"/>
      <c r="L22" s="11"/>
      <c r="M22" s="11"/>
    </row>
    <row r="23" customFormat="false" ht="15" hidden="false" customHeight="true" outlineLevel="0" collapsed="false">
      <c r="A23" s="14" t="s">
        <v>602</v>
      </c>
      <c r="B23" s="21" t="s">
        <v>315</v>
      </c>
      <c r="C23" s="14" t="s">
        <v>603</v>
      </c>
      <c r="D23" s="14" t="s">
        <v>604</v>
      </c>
      <c r="E23" s="14"/>
      <c r="F23" s="14" t="s">
        <v>89</v>
      </c>
      <c r="G23" s="14" t="s">
        <v>573</v>
      </c>
      <c r="H23" s="14"/>
      <c r="I23" s="14" t="s">
        <v>605</v>
      </c>
      <c r="J23" s="11"/>
      <c r="K23" s="11"/>
      <c r="L23" s="11"/>
      <c r="M23" s="11"/>
    </row>
    <row r="24" customFormat="false" ht="15" hidden="false" customHeight="true" outlineLevel="0" collapsed="false">
      <c r="A24" s="14" t="s">
        <v>606</v>
      </c>
      <c r="B24" s="21" t="s">
        <v>315</v>
      </c>
      <c r="C24" s="14" t="s">
        <v>607</v>
      </c>
      <c r="D24" s="14" t="s">
        <v>608</v>
      </c>
      <c r="E24" s="14"/>
      <c r="F24" s="14" t="s">
        <v>89</v>
      </c>
      <c r="G24" s="14" t="s">
        <v>569</v>
      </c>
      <c r="H24" s="14"/>
      <c r="I24" s="14" t="s">
        <v>605</v>
      </c>
      <c r="J24" s="11"/>
      <c r="K24" s="11"/>
      <c r="L24" s="11"/>
      <c r="M24" s="11"/>
    </row>
    <row r="25" customFormat="false" ht="15" hidden="false" customHeight="true" outlineLevel="0" collapsed="false">
      <c r="A25" s="14" t="s">
        <v>609</v>
      </c>
      <c r="B25" s="21" t="s">
        <v>315</v>
      </c>
      <c r="C25" s="14" t="s">
        <v>610</v>
      </c>
      <c r="D25" s="14" t="s">
        <v>611</v>
      </c>
      <c r="E25" s="14"/>
      <c r="F25" s="14" t="s">
        <v>89</v>
      </c>
      <c r="G25" s="14" t="s">
        <v>573</v>
      </c>
      <c r="H25" s="14"/>
      <c r="I25" s="14" t="s">
        <v>605</v>
      </c>
      <c r="J25" s="11"/>
      <c r="K25" s="11"/>
      <c r="L25" s="11"/>
      <c r="M25" s="11"/>
    </row>
    <row r="26" customFormat="false" ht="19.5" hidden="false" customHeight="true" outlineLevel="0" collapsed="false">
      <c r="A26" s="36" t="s">
        <v>612</v>
      </c>
      <c r="B26" s="36"/>
      <c r="C26" s="36"/>
      <c r="D26" s="36"/>
      <c r="E26" s="36"/>
      <c r="F26" s="36"/>
      <c r="G26" s="36"/>
      <c r="H26" s="36"/>
      <c r="I26" s="36"/>
    </row>
    <row r="27" customFormat="false" ht="15" hidden="false" customHeight="true" outlineLevel="0" collapsed="false">
      <c r="A27" s="14" t="s">
        <v>613</v>
      </c>
      <c r="B27" s="17" t="s">
        <v>183</v>
      </c>
      <c r="C27" s="14" t="s">
        <v>614</v>
      </c>
      <c r="D27" s="14" t="s">
        <v>615</v>
      </c>
      <c r="E27" s="14"/>
      <c r="F27" s="14" t="s">
        <v>89</v>
      </c>
      <c r="G27" s="14" t="s">
        <v>562</v>
      </c>
      <c r="H27" s="14"/>
      <c r="I27" s="14"/>
      <c r="J27" s="11"/>
      <c r="K27" s="11"/>
      <c r="L27" s="11"/>
      <c r="M27" s="11"/>
    </row>
    <row r="28" customFormat="false" ht="15" hidden="false" customHeight="true" outlineLevel="0" collapsed="false">
      <c r="A28" s="14" t="s">
        <v>616</v>
      </c>
      <c r="B28" s="17" t="s">
        <v>183</v>
      </c>
      <c r="C28" s="14" t="s">
        <v>617</v>
      </c>
      <c r="D28" s="14" t="s">
        <v>618</v>
      </c>
      <c r="E28" s="14"/>
      <c r="F28" s="14" t="s">
        <v>89</v>
      </c>
      <c r="G28" s="14" t="s">
        <v>562</v>
      </c>
      <c r="H28" s="14"/>
      <c r="I28" s="14"/>
      <c r="J28" s="11"/>
      <c r="K28" s="11"/>
      <c r="L28" s="11"/>
      <c r="M28" s="11"/>
    </row>
    <row r="29" customFormat="false" ht="15" hidden="false" customHeight="true" outlineLevel="0" collapsed="false">
      <c r="A29" s="14" t="s">
        <v>619</v>
      </c>
      <c r="B29" s="17" t="s">
        <v>183</v>
      </c>
      <c r="C29" s="14" t="s">
        <v>620</v>
      </c>
      <c r="D29" s="14" t="s">
        <v>621</v>
      </c>
      <c r="E29" s="14"/>
      <c r="F29" s="14" t="s">
        <v>89</v>
      </c>
      <c r="G29" s="14" t="s">
        <v>622</v>
      </c>
      <c r="H29" s="14"/>
      <c r="I29" s="14"/>
      <c r="J29" s="11"/>
      <c r="K29" s="11"/>
      <c r="L29" s="11"/>
      <c r="M29" s="11"/>
    </row>
    <row r="30" customFormat="false" ht="15" hidden="false" customHeight="true" outlineLevel="0" collapsed="false">
      <c r="A30" s="14" t="s">
        <v>623</v>
      </c>
      <c r="B30" s="17" t="s">
        <v>183</v>
      </c>
      <c r="C30" s="14" t="s">
        <v>624</v>
      </c>
      <c r="D30" s="14" t="s">
        <v>625</v>
      </c>
      <c r="E30" s="14"/>
      <c r="F30" s="14" t="s">
        <v>89</v>
      </c>
      <c r="G30" s="14" t="s">
        <v>562</v>
      </c>
      <c r="H30" s="14"/>
      <c r="I30" s="14"/>
      <c r="J30" s="11"/>
      <c r="K30" s="11"/>
      <c r="L30" s="11"/>
      <c r="M30" s="11"/>
    </row>
    <row r="31" customFormat="false" ht="15" hidden="false" customHeight="true" outlineLevel="0" collapsed="false">
      <c r="A31" s="14" t="s">
        <v>626</v>
      </c>
      <c r="B31" s="17" t="s">
        <v>183</v>
      </c>
      <c r="C31" s="14" t="s">
        <v>627</v>
      </c>
      <c r="D31" s="14" t="s">
        <v>628</v>
      </c>
      <c r="E31" s="14"/>
      <c r="F31" s="14" t="s">
        <v>89</v>
      </c>
      <c r="G31" s="14" t="s">
        <v>569</v>
      </c>
      <c r="H31" s="14"/>
      <c r="I31" s="14"/>
      <c r="J31" s="11"/>
      <c r="K31" s="11"/>
      <c r="L31" s="11"/>
      <c r="M31" s="11"/>
    </row>
    <row r="32" customFormat="false" ht="15" hidden="false" customHeight="true" outlineLevel="0" collapsed="false">
      <c r="A32" s="14" t="s">
        <v>629</v>
      </c>
      <c r="B32" s="17" t="s">
        <v>183</v>
      </c>
      <c r="C32" s="14" t="s">
        <v>630</v>
      </c>
      <c r="D32" s="14" t="s">
        <v>631</v>
      </c>
      <c r="E32" s="14"/>
      <c r="F32" s="14" t="s">
        <v>89</v>
      </c>
      <c r="G32" s="14" t="s">
        <v>562</v>
      </c>
      <c r="H32" s="14"/>
      <c r="I32" s="14"/>
      <c r="J32" s="11"/>
      <c r="K32" s="11"/>
      <c r="L32" s="11"/>
      <c r="M32" s="11"/>
    </row>
    <row r="33" customFormat="false" ht="21.75" hidden="false" customHeight="true" outlineLevel="0" collapsed="false">
      <c r="A33" s="14" t="s">
        <v>632</v>
      </c>
      <c r="B33" s="17" t="s">
        <v>183</v>
      </c>
      <c r="C33" s="14" t="s">
        <v>633</v>
      </c>
      <c r="D33" s="14" t="s">
        <v>634</v>
      </c>
      <c r="E33" s="14"/>
      <c r="F33" s="14" t="s">
        <v>89</v>
      </c>
      <c r="G33" s="14" t="s">
        <v>562</v>
      </c>
      <c r="H33" s="14"/>
      <c r="I33" s="14"/>
      <c r="J33" s="11"/>
      <c r="K33" s="11"/>
      <c r="L33" s="11"/>
      <c r="M33" s="11"/>
    </row>
    <row r="34" customFormat="false" ht="21.75" hidden="false" customHeight="true" outlineLevel="0" collapsed="false">
      <c r="A34" s="14" t="s">
        <v>635</v>
      </c>
      <c r="B34" s="17" t="s">
        <v>183</v>
      </c>
      <c r="C34" s="14" t="s">
        <v>636</v>
      </c>
      <c r="D34" s="14" t="s">
        <v>637</v>
      </c>
      <c r="E34" s="14"/>
      <c r="F34" s="14" t="s">
        <v>89</v>
      </c>
      <c r="G34" s="14" t="s">
        <v>562</v>
      </c>
      <c r="H34" s="14"/>
      <c r="I34" s="14"/>
      <c r="J34" s="11"/>
      <c r="K34" s="11"/>
      <c r="L34" s="11"/>
      <c r="M34" s="11"/>
    </row>
    <row r="35" customFormat="false" ht="15" hidden="false" customHeight="true" outlineLevel="0" collapsed="false">
      <c r="A35" s="14" t="s">
        <v>638</v>
      </c>
      <c r="B35" s="17" t="s">
        <v>183</v>
      </c>
      <c r="C35" s="14" t="s">
        <v>639</v>
      </c>
      <c r="D35" s="14" t="s">
        <v>640</v>
      </c>
      <c r="E35" s="14"/>
      <c r="F35" s="14" t="s">
        <v>89</v>
      </c>
      <c r="G35" s="14" t="s">
        <v>562</v>
      </c>
      <c r="H35" s="14"/>
      <c r="I35" s="14"/>
      <c r="J35" s="11"/>
      <c r="K35" s="11"/>
      <c r="L35" s="11"/>
      <c r="M35" s="11"/>
    </row>
    <row r="36" customFormat="false" ht="15" hidden="false" customHeight="true" outlineLevel="0" collapsed="false">
      <c r="A36" s="14" t="s">
        <v>641</v>
      </c>
      <c r="B36" s="17" t="s">
        <v>183</v>
      </c>
      <c r="C36" s="14" t="s">
        <v>564</v>
      </c>
      <c r="D36" s="14" t="s">
        <v>642</v>
      </c>
      <c r="E36" s="14"/>
      <c r="F36" s="14" t="s">
        <v>89</v>
      </c>
      <c r="G36" s="14" t="s">
        <v>562</v>
      </c>
      <c r="H36" s="14"/>
      <c r="I36" s="14"/>
      <c r="J36" s="11"/>
      <c r="K36" s="11"/>
      <c r="L36" s="11"/>
      <c r="M36" s="11"/>
    </row>
    <row r="37" customFormat="false" ht="15" hidden="false" customHeight="true" outlineLevel="0" collapsed="false">
      <c r="A37" s="14" t="s">
        <v>643</v>
      </c>
      <c r="B37" s="17" t="s">
        <v>183</v>
      </c>
      <c r="C37" s="14" t="s">
        <v>644</v>
      </c>
      <c r="D37" s="14" t="s">
        <v>645</v>
      </c>
      <c r="E37" s="14"/>
      <c r="F37" s="14" t="s">
        <v>89</v>
      </c>
      <c r="G37" s="14" t="s">
        <v>569</v>
      </c>
      <c r="H37" s="14"/>
      <c r="I37" s="14"/>
      <c r="J37" s="11"/>
      <c r="K37" s="11"/>
      <c r="L37" s="11"/>
      <c r="M37" s="11"/>
    </row>
    <row r="38" customFormat="false" ht="15" hidden="false" customHeight="true" outlineLevel="0" collapsed="false">
      <c r="A38" s="14" t="s">
        <v>646</v>
      </c>
      <c r="B38" s="17" t="s">
        <v>183</v>
      </c>
      <c r="C38" s="14" t="s">
        <v>647</v>
      </c>
      <c r="D38" s="14" t="s">
        <v>648</v>
      </c>
      <c r="E38" s="14"/>
      <c r="F38" s="14" t="s">
        <v>89</v>
      </c>
      <c r="G38" s="14" t="s">
        <v>569</v>
      </c>
      <c r="H38" s="14"/>
      <c r="I38" s="14" t="s">
        <v>605</v>
      </c>
      <c r="J38" s="11"/>
      <c r="K38" s="11"/>
      <c r="L38" s="11"/>
      <c r="M38" s="11"/>
    </row>
    <row r="39" customFormat="false" ht="19.5" hidden="false" customHeight="true" outlineLevel="0" collapsed="false">
      <c r="A39" s="36" t="s">
        <v>649</v>
      </c>
      <c r="B39" s="36"/>
      <c r="C39" s="36"/>
      <c r="D39" s="36"/>
      <c r="E39" s="36"/>
      <c r="F39" s="36"/>
      <c r="G39" s="36"/>
      <c r="H39" s="36"/>
      <c r="I39" s="36"/>
    </row>
    <row r="40" customFormat="false" ht="15" hidden="false" customHeight="true" outlineLevel="0" collapsed="false">
      <c r="A40" s="14" t="s">
        <v>650</v>
      </c>
      <c r="B40" s="18" t="s">
        <v>651</v>
      </c>
      <c r="C40" s="18" t="s">
        <v>652</v>
      </c>
      <c r="D40" s="18" t="s">
        <v>653</v>
      </c>
      <c r="E40" s="18"/>
      <c r="F40" s="18" t="s">
        <v>142</v>
      </c>
      <c r="G40" s="18" t="s">
        <v>622</v>
      </c>
      <c r="H40" s="18"/>
      <c r="I40" s="18" t="s">
        <v>654</v>
      </c>
      <c r="J40" s="11"/>
      <c r="K40" s="11"/>
      <c r="L40" s="11"/>
      <c r="M40" s="11"/>
    </row>
    <row r="41" customFormat="false" ht="15" hidden="false" customHeight="true" outlineLevel="0" collapsed="false">
      <c r="A41" s="14" t="s">
        <v>655</v>
      </c>
      <c r="B41" s="18" t="s">
        <v>651</v>
      </c>
      <c r="C41" s="18" t="s">
        <v>656</v>
      </c>
      <c r="D41" s="18" t="s">
        <v>657</v>
      </c>
      <c r="E41" s="18"/>
      <c r="F41" s="18" t="s">
        <v>142</v>
      </c>
      <c r="G41" s="18" t="s">
        <v>622</v>
      </c>
      <c r="H41" s="18"/>
      <c r="I41" s="18" t="s">
        <v>654</v>
      </c>
      <c r="J41" s="11"/>
      <c r="K41" s="11"/>
      <c r="L41" s="11"/>
      <c r="M41" s="11"/>
    </row>
    <row r="42" customFormat="false" ht="15" hidden="false" customHeight="true" outlineLevel="0" collapsed="false">
      <c r="A42" s="14" t="s">
        <v>658</v>
      </c>
      <c r="B42" s="18" t="s">
        <v>651</v>
      </c>
      <c r="C42" s="18" t="s">
        <v>659</v>
      </c>
      <c r="D42" s="18" t="s">
        <v>642</v>
      </c>
      <c r="E42" s="18"/>
      <c r="F42" s="18" t="s">
        <v>142</v>
      </c>
      <c r="G42" s="18" t="s">
        <v>622</v>
      </c>
      <c r="H42" s="18"/>
      <c r="I42" s="18" t="s">
        <v>654</v>
      </c>
      <c r="J42" s="11"/>
      <c r="K42" s="11"/>
      <c r="L42" s="11"/>
      <c r="M42" s="11"/>
    </row>
    <row r="43" customFormat="false" ht="15" hidden="false" customHeight="true" outlineLevel="0" collapsed="false">
      <c r="A43" s="14" t="s">
        <v>660</v>
      </c>
      <c r="B43" s="18" t="s">
        <v>651</v>
      </c>
      <c r="C43" s="18" t="s">
        <v>578</v>
      </c>
      <c r="D43" s="18" t="s">
        <v>661</v>
      </c>
      <c r="E43" s="18"/>
      <c r="F43" s="18" t="s">
        <v>142</v>
      </c>
      <c r="G43" s="18" t="s">
        <v>622</v>
      </c>
      <c r="H43" s="18"/>
      <c r="I43" s="18" t="s">
        <v>654</v>
      </c>
      <c r="J43" s="11"/>
      <c r="K43" s="11"/>
      <c r="L43" s="11"/>
      <c r="M43" s="11"/>
    </row>
    <row r="44" customFormat="false" ht="19.5" hidden="false" customHeight="true" outlineLevel="0" collapsed="false">
      <c r="A44" s="36" t="s">
        <v>662</v>
      </c>
      <c r="B44" s="36"/>
      <c r="C44" s="36"/>
      <c r="D44" s="36"/>
      <c r="E44" s="36"/>
      <c r="F44" s="36"/>
      <c r="G44" s="36"/>
      <c r="H44" s="36"/>
      <c r="I44" s="36"/>
    </row>
    <row r="45" customFormat="false" ht="15" hidden="false" customHeight="true" outlineLevel="0" collapsed="false">
      <c r="A45" s="14" t="s">
        <v>663</v>
      </c>
      <c r="B45" s="20" t="s">
        <v>235</v>
      </c>
      <c r="C45" s="14" t="s">
        <v>664</v>
      </c>
      <c r="D45" s="14" t="s">
        <v>665</v>
      </c>
      <c r="E45" s="14"/>
      <c r="F45" s="14" t="s">
        <v>89</v>
      </c>
      <c r="G45" s="14" t="s">
        <v>569</v>
      </c>
      <c r="H45" s="14"/>
      <c r="I45" s="14"/>
      <c r="J45" s="11"/>
      <c r="K45" s="11"/>
      <c r="L45" s="11"/>
      <c r="M45" s="11"/>
    </row>
    <row r="46" customFormat="false" ht="15" hidden="false" customHeight="true" outlineLevel="0" collapsed="false">
      <c r="A46" s="14" t="s">
        <v>666</v>
      </c>
      <c r="B46" s="20" t="s">
        <v>235</v>
      </c>
      <c r="C46" s="14" t="s">
        <v>564</v>
      </c>
      <c r="D46" s="14" t="s">
        <v>642</v>
      </c>
      <c r="E46" s="14"/>
      <c r="F46" s="14" t="s">
        <v>89</v>
      </c>
      <c r="G46" s="14" t="s">
        <v>562</v>
      </c>
      <c r="H46" s="14"/>
      <c r="I46" s="14"/>
      <c r="J46" s="11"/>
      <c r="K46" s="11"/>
      <c r="L46" s="11"/>
      <c r="M46" s="11"/>
    </row>
    <row r="47" customFormat="false" ht="15" hidden="false" customHeight="true" outlineLevel="0" collapsed="false">
      <c r="A47" s="14" t="s">
        <v>667</v>
      </c>
      <c r="B47" s="20" t="s">
        <v>235</v>
      </c>
      <c r="C47" s="14" t="s">
        <v>668</v>
      </c>
      <c r="D47" s="14" t="s">
        <v>669</v>
      </c>
      <c r="E47" s="14"/>
      <c r="F47" s="14" t="s">
        <v>89</v>
      </c>
      <c r="G47" s="14" t="s">
        <v>573</v>
      </c>
      <c r="H47" s="14"/>
      <c r="I47" s="14"/>
      <c r="J47" s="11"/>
      <c r="K47" s="11"/>
      <c r="L47" s="11"/>
      <c r="M47" s="11"/>
    </row>
    <row r="48" customFormat="false" ht="15" hidden="false" customHeight="true" outlineLevel="0" collapsed="false">
      <c r="A48" s="14" t="s">
        <v>670</v>
      </c>
      <c r="B48" s="20" t="s">
        <v>235</v>
      </c>
      <c r="C48" s="14" t="s">
        <v>571</v>
      </c>
      <c r="D48" s="14" t="s">
        <v>671</v>
      </c>
      <c r="E48" s="14"/>
      <c r="F48" s="14" t="s">
        <v>89</v>
      </c>
      <c r="G48" s="14" t="s">
        <v>573</v>
      </c>
      <c r="H48" s="14"/>
      <c r="I48" s="14"/>
      <c r="J48" s="11"/>
      <c r="K48" s="11"/>
      <c r="L48" s="11"/>
      <c r="M48" s="11"/>
    </row>
    <row r="49" customFormat="false" ht="15" hidden="false" customHeight="true" outlineLevel="0" collapsed="false">
      <c r="A49" s="14" t="s">
        <v>672</v>
      </c>
      <c r="B49" s="20" t="s">
        <v>235</v>
      </c>
      <c r="C49" s="14" t="s">
        <v>578</v>
      </c>
      <c r="D49" s="14" t="s">
        <v>673</v>
      </c>
      <c r="E49" s="14"/>
      <c r="F49" s="14" t="s">
        <v>89</v>
      </c>
      <c r="G49" s="14" t="s">
        <v>569</v>
      </c>
      <c r="H49" s="14"/>
      <c r="I49" s="14"/>
      <c r="J49" s="11"/>
      <c r="K49" s="11"/>
      <c r="L49" s="11"/>
      <c r="M49" s="11"/>
    </row>
    <row r="50" customFormat="false" ht="15" hidden="false" customHeight="true" outlineLevel="0" collapsed="false">
      <c r="A50" s="14" t="s">
        <v>674</v>
      </c>
      <c r="B50" s="20" t="s">
        <v>235</v>
      </c>
      <c r="C50" s="14" t="s">
        <v>675</v>
      </c>
      <c r="D50" s="14" t="s">
        <v>676</v>
      </c>
      <c r="E50" s="14"/>
      <c r="F50" s="14" t="s">
        <v>89</v>
      </c>
      <c r="G50" s="14" t="s">
        <v>573</v>
      </c>
      <c r="H50" s="14"/>
      <c r="I50" s="14"/>
      <c r="J50" s="11"/>
      <c r="K50" s="11"/>
      <c r="L50" s="11"/>
      <c r="M50" s="11"/>
    </row>
    <row r="51" customFormat="false" ht="15" hidden="false" customHeight="true" outlineLevel="0" collapsed="false">
      <c r="A51" s="14" t="s">
        <v>677</v>
      </c>
      <c r="B51" s="20" t="s">
        <v>235</v>
      </c>
      <c r="C51" s="14" t="s">
        <v>678</v>
      </c>
      <c r="D51" s="14" t="s">
        <v>679</v>
      </c>
      <c r="E51" s="14"/>
      <c r="F51" s="14" t="s">
        <v>89</v>
      </c>
      <c r="G51" s="14" t="s">
        <v>569</v>
      </c>
      <c r="H51" s="14"/>
      <c r="I51" s="14" t="s">
        <v>605</v>
      </c>
      <c r="J51" s="11"/>
      <c r="K51" s="11"/>
      <c r="L51" s="11"/>
      <c r="M51" s="11"/>
    </row>
    <row r="52" customFormat="false" ht="19.5" hidden="false" customHeight="true" outlineLevel="0" collapsed="false">
      <c r="A52" s="36" t="s">
        <v>680</v>
      </c>
      <c r="B52" s="36"/>
      <c r="C52" s="36"/>
      <c r="D52" s="36"/>
      <c r="E52" s="36"/>
      <c r="F52" s="36"/>
      <c r="G52" s="36"/>
      <c r="H52" s="36"/>
      <c r="I52" s="36"/>
    </row>
    <row r="53" customFormat="false" ht="15" hidden="false" customHeight="true" outlineLevel="0" collapsed="false">
      <c r="A53" s="14" t="s">
        <v>681</v>
      </c>
      <c r="B53" s="14" t="s">
        <v>682</v>
      </c>
      <c r="C53" s="14" t="s">
        <v>683</v>
      </c>
      <c r="D53" s="14" t="s">
        <v>684</v>
      </c>
      <c r="E53" s="14"/>
      <c r="F53" s="14" t="s">
        <v>89</v>
      </c>
      <c r="G53" s="14" t="s">
        <v>573</v>
      </c>
      <c r="H53" s="14"/>
      <c r="I53" s="14"/>
      <c r="J53" s="11"/>
      <c r="K53" s="11"/>
      <c r="L53" s="11"/>
      <c r="M53" s="11"/>
    </row>
    <row r="54" customFormat="false" ht="15" hidden="false" customHeight="true" outlineLevel="0" collapsed="false">
      <c r="A54" s="14" t="s">
        <v>685</v>
      </c>
      <c r="B54" s="14" t="s">
        <v>682</v>
      </c>
      <c r="C54" s="14" t="s">
        <v>686</v>
      </c>
      <c r="D54" s="14" t="s">
        <v>687</v>
      </c>
      <c r="E54" s="14"/>
      <c r="F54" s="14" t="s">
        <v>89</v>
      </c>
      <c r="G54" s="14" t="s">
        <v>573</v>
      </c>
      <c r="H54" s="14"/>
      <c r="I54" s="14"/>
      <c r="J54" s="11"/>
      <c r="K54" s="11"/>
      <c r="L54" s="11"/>
      <c r="M54" s="11"/>
    </row>
    <row r="55" customFormat="false" ht="15" hidden="false" customHeight="true" outlineLevel="0" collapsed="false">
      <c r="A55" s="14" t="s">
        <v>688</v>
      </c>
      <c r="B55" s="14" t="s">
        <v>682</v>
      </c>
      <c r="C55" s="14" t="s">
        <v>689</v>
      </c>
      <c r="D55" s="14" t="s">
        <v>687</v>
      </c>
      <c r="E55" s="14"/>
      <c r="F55" s="14" t="s">
        <v>89</v>
      </c>
      <c r="G55" s="14" t="s">
        <v>573</v>
      </c>
      <c r="H55" s="14"/>
      <c r="I55" s="14"/>
      <c r="J55" s="11"/>
      <c r="K55" s="11"/>
      <c r="L55" s="11"/>
      <c r="M55" s="11"/>
    </row>
    <row r="56" customFormat="false" ht="15" hidden="false" customHeight="true" outlineLevel="0" collapsed="false">
      <c r="A56" s="14" t="s">
        <v>690</v>
      </c>
      <c r="B56" s="14" t="s">
        <v>682</v>
      </c>
      <c r="C56" s="14" t="s">
        <v>691</v>
      </c>
      <c r="D56" s="14" t="s">
        <v>687</v>
      </c>
      <c r="E56" s="14"/>
      <c r="F56" s="14" t="s">
        <v>89</v>
      </c>
      <c r="G56" s="14" t="s">
        <v>573</v>
      </c>
      <c r="H56" s="14"/>
      <c r="I56" s="14"/>
      <c r="J56" s="11"/>
      <c r="K56" s="11"/>
      <c r="L56" s="11"/>
      <c r="M56" s="11"/>
    </row>
    <row r="57" customFormat="false" ht="15" hidden="false" customHeight="true" outlineLevel="0" collapsed="false">
      <c r="A57" s="14" t="s">
        <v>692</v>
      </c>
      <c r="B57" s="14" t="s">
        <v>682</v>
      </c>
      <c r="C57" s="14" t="s">
        <v>693</v>
      </c>
      <c r="D57" s="14" t="s">
        <v>694</v>
      </c>
      <c r="E57" s="14"/>
      <c r="F57" s="14" t="s">
        <v>89</v>
      </c>
      <c r="G57" s="14" t="s">
        <v>573</v>
      </c>
      <c r="H57" s="14"/>
      <c r="I57" s="14"/>
      <c r="J57" s="11"/>
      <c r="K57" s="11"/>
      <c r="L57" s="11"/>
      <c r="M57" s="11"/>
    </row>
    <row r="58" customFormat="false" ht="15" hidden="false" customHeight="true" outlineLevel="0" collapsed="false">
      <c r="A58" s="14" t="s">
        <v>695</v>
      </c>
      <c r="B58" s="14" t="s">
        <v>682</v>
      </c>
      <c r="C58" s="14" t="s">
        <v>696</v>
      </c>
      <c r="D58" s="14" t="s">
        <v>697</v>
      </c>
      <c r="E58" s="14"/>
      <c r="F58" s="14" t="s">
        <v>89</v>
      </c>
      <c r="G58" s="14" t="s">
        <v>569</v>
      </c>
      <c r="H58" s="14"/>
      <c r="I58" s="14"/>
      <c r="J58" s="11"/>
      <c r="K58" s="11"/>
      <c r="L58" s="11"/>
      <c r="M58" s="11"/>
    </row>
    <row r="59" customFormat="false" ht="15" hidden="false" customHeight="true" outlineLevel="0" collapsed="false">
      <c r="A59" s="14" t="s">
        <v>698</v>
      </c>
      <c r="B59" s="14" t="s">
        <v>682</v>
      </c>
      <c r="C59" s="14" t="s">
        <v>699</v>
      </c>
      <c r="D59" s="14" t="s">
        <v>700</v>
      </c>
      <c r="E59" s="14"/>
      <c r="F59" s="14" t="s">
        <v>89</v>
      </c>
      <c r="G59" s="14" t="s">
        <v>573</v>
      </c>
      <c r="H59" s="14"/>
      <c r="I59" s="14"/>
      <c r="J59" s="11"/>
      <c r="K59" s="11"/>
      <c r="L59" s="11"/>
      <c r="M59" s="11"/>
    </row>
    <row r="60" customFormat="false" ht="15" hidden="false" customHeight="true" outlineLevel="0" collapsed="false">
      <c r="A60" s="11" t="s">
        <v>701</v>
      </c>
      <c r="B60" s="28" t="s">
        <v>315</v>
      </c>
      <c r="C60" s="11" t="s">
        <v>702</v>
      </c>
      <c r="D60" s="11" t="s">
        <v>611</v>
      </c>
      <c r="E60" s="11"/>
      <c r="F60" s="11" t="s">
        <v>89</v>
      </c>
      <c r="G60" s="11" t="s">
        <v>569</v>
      </c>
      <c r="H60" s="11"/>
      <c r="I60" s="11" t="s">
        <v>605</v>
      </c>
    </row>
    <row r="61" customFormat="false" ht="15" hidden="false" customHeight="true" outlineLevel="0" collapsed="false">
      <c r="A61" s="11" t="s">
        <v>703</v>
      </c>
      <c r="B61" s="28" t="s">
        <v>315</v>
      </c>
      <c r="C61" s="11" t="s">
        <v>704</v>
      </c>
      <c r="D61" s="11" t="s">
        <v>611</v>
      </c>
      <c r="E61" s="11"/>
      <c r="F61" s="11" t="s">
        <v>89</v>
      </c>
      <c r="G61" s="11" t="s">
        <v>569</v>
      </c>
      <c r="H61" s="11"/>
      <c r="I61" s="11"/>
    </row>
    <row r="62" customFormat="false" ht="15" hidden="false" customHeight="true" outlineLevel="0" collapsed="false">
      <c r="A62" s="11" t="s">
        <v>705</v>
      </c>
      <c r="B62" s="19" t="s">
        <v>183</v>
      </c>
      <c r="C62" s="11" t="s">
        <v>706</v>
      </c>
      <c r="D62" s="11" t="s">
        <v>707</v>
      </c>
      <c r="E62" s="11"/>
      <c r="F62" s="11" t="s">
        <v>89</v>
      </c>
      <c r="G62" s="11" t="s">
        <v>573</v>
      </c>
      <c r="H62" s="11"/>
      <c r="I62" s="11"/>
    </row>
    <row r="63" customFormat="false" ht="15" hidden="false" customHeight="true" outlineLevel="0" collapsed="false">
      <c r="A63" s="11" t="s">
        <v>708</v>
      </c>
      <c r="B63" s="37" t="s">
        <v>235</v>
      </c>
      <c r="C63" s="11" t="s">
        <v>709</v>
      </c>
      <c r="D63" s="11" t="s">
        <v>710</v>
      </c>
      <c r="E63" s="11"/>
      <c r="F63" s="11" t="s">
        <v>89</v>
      </c>
      <c r="G63" s="11" t="s">
        <v>573</v>
      </c>
      <c r="H63" s="11"/>
      <c r="I63" s="11"/>
    </row>
    <row r="64" customFormat="false" ht="32.25" hidden="false" customHeight="true" outlineLevel="0" collapsed="false">
      <c r="A64" s="11" t="s">
        <v>711</v>
      </c>
      <c r="B64" s="11" t="s">
        <v>682</v>
      </c>
      <c r="C64" s="11" t="s">
        <v>712</v>
      </c>
      <c r="D64" s="11" t="s">
        <v>713</v>
      </c>
      <c r="E64" s="11"/>
      <c r="F64" s="11" t="s">
        <v>89</v>
      </c>
      <c r="G64" s="11" t="s">
        <v>573</v>
      </c>
      <c r="H64" s="11"/>
      <c r="I64" s="11" t="s">
        <v>714</v>
      </c>
    </row>
  </sheetData>
  <mergeCells count="8">
    <mergeCell ref="A1:I1"/>
    <mergeCell ref="A2:I2"/>
    <mergeCell ref="A7:I7"/>
    <mergeCell ref="A15:I15"/>
    <mergeCell ref="A26:I26"/>
    <mergeCell ref="A39:I39"/>
    <mergeCell ref="A44:I44"/>
    <mergeCell ref="A52:I52"/>
  </mergeCells>
  <dataValidations count="6">
    <dataValidation allowBlank="true" errorStyle="stop" operator="between" showDropDown="false" showErrorMessage="false" showInputMessage="false" sqref="E8:F14 E16:F25 E27:F38 E40:F43 E45:F51 E53:F59" type="list">
      <formula1>"Pass,Fail,Pending,Blocked,N/A"</formula1>
      <formula2>0</formula2>
    </dataValidation>
    <dataValidation allowBlank="true" errorStyle="stop" operator="between" showDropDown="false" showErrorMessage="false" showInputMessage="false" sqref="G8:G14 G16:G25 G27:G38 G40:G43 G45:G51 G53:G59" type="list">
      <formula1>"Critical,High,Medium,Low"</formula1>
      <formula2>0</formula2>
    </dataValidation>
    <dataValidation allowBlank="true" errorStyle="stop" operator="between" showDropDown="false" showErrorMessage="false" showInputMessage="false" sqref="E60:F63" type="list">
      <formula1>"Pass,Fail,Pending,Blocked,N/A"</formula1>
      <formula2>0</formula2>
    </dataValidation>
    <dataValidation allowBlank="true" errorStyle="stop" operator="between" showDropDown="false" showErrorMessage="false" showInputMessage="false" sqref="G60:G63" type="list">
      <formula1>"Critical,High,Medium,Low"</formula1>
      <formula2>0</formula2>
    </dataValidation>
    <dataValidation allowBlank="true" errorStyle="stop" operator="between" showDropDown="false" showErrorMessage="false" showInputMessage="false" sqref="E64:F64" type="list">
      <formula1>"Pass,Fail,Pending,Blocked,N/A"</formula1>
      <formula2>0</formula2>
    </dataValidation>
    <dataValidation allowBlank="true" errorStyle="stop" operator="between" showDropDown="false" showErrorMessage="false" showInputMessage="false" sqref="G6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46"/>
    <col collapsed="false" customWidth="true" hidden="false" outlineLevel="0" max="4" min="4" style="1" width="11"/>
    <col collapsed="false" customWidth="true" hidden="false" outlineLevel="0" max="5" min="5" style="1" width="24"/>
  </cols>
  <sheetData>
    <row r="1" customFormat="false" ht="33.75" hidden="false" customHeight="true" outlineLevel="0" collapsed="false">
      <c r="A1" s="2" t="s">
        <v>715</v>
      </c>
      <c r="B1" s="2"/>
      <c r="C1" s="2"/>
      <c r="D1" s="2"/>
      <c r="E1" s="2"/>
    </row>
    <row r="2" customFormat="false" ht="15" hidden="false" customHeight="true" outlineLevel="0" collapsed="false">
      <c r="A2" s="3" t="s">
        <v>716</v>
      </c>
      <c r="B2" s="3"/>
      <c r="C2" s="3"/>
      <c r="D2" s="3"/>
      <c r="E2" s="3"/>
    </row>
    <row r="3" customFormat="false" ht="30" hidden="false" customHeight="true" outlineLevel="0" collapsed="false">
      <c r="A3" s="13" t="s">
        <v>717</v>
      </c>
      <c r="B3" s="13" t="s">
        <v>718</v>
      </c>
      <c r="C3" s="13" t="s">
        <v>478</v>
      </c>
      <c r="D3" s="13" t="s">
        <v>503</v>
      </c>
      <c r="E3" s="13" t="s">
        <v>502</v>
      </c>
    </row>
    <row r="4" customFormat="false" ht="15" hidden="false" customHeight="true" outlineLevel="0" collapsed="false">
      <c r="A4" s="14" t="s">
        <v>7</v>
      </c>
      <c r="B4" s="14" t="s">
        <v>719</v>
      </c>
      <c r="C4" s="14" t="s">
        <v>720</v>
      </c>
      <c r="D4" s="14" t="s">
        <v>89</v>
      </c>
      <c r="E4" s="14"/>
    </row>
    <row r="5" customFormat="false" ht="15" hidden="false" customHeight="true" outlineLevel="0" collapsed="false">
      <c r="A5" s="14" t="s">
        <v>9</v>
      </c>
      <c r="B5" s="14" t="s">
        <v>721</v>
      </c>
      <c r="C5" s="14" t="s">
        <v>722</v>
      </c>
      <c r="D5" s="14" t="s">
        <v>89</v>
      </c>
      <c r="E5" s="14"/>
    </row>
    <row r="6" customFormat="false" ht="15" hidden="false" customHeight="true" outlineLevel="0" collapsed="false">
      <c r="A6" s="14" t="s">
        <v>11</v>
      </c>
      <c r="B6" s="14" t="s">
        <v>723</v>
      </c>
      <c r="C6" s="14" t="s">
        <v>724</v>
      </c>
      <c r="D6" s="14" t="s">
        <v>89</v>
      </c>
      <c r="E6" s="14"/>
    </row>
    <row r="7" customFormat="false" ht="15" hidden="false" customHeight="true" outlineLevel="0" collapsed="false">
      <c r="A7" s="14" t="s">
        <v>13</v>
      </c>
      <c r="B7" s="14" t="s">
        <v>725</v>
      </c>
      <c r="C7" s="14" t="s">
        <v>726</v>
      </c>
      <c r="D7" s="14" t="s">
        <v>89</v>
      </c>
      <c r="E7" s="14"/>
    </row>
    <row r="8" customFormat="false" ht="15" hidden="false" customHeight="true" outlineLevel="0" collapsed="false">
      <c r="A8" s="14" t="s">
        <v>15</v>
      </c>
      <c r="B8" s="14" t="s">
        <v>727</v>
      </c>
      <c r="C8" s="14" t="s">
        <v>728</v>
      </c>
      <c r="D8" s="14" t="s">
        <v>89</v>
      </c>
      <c r="E8" s="14"/>
    </row>
    <row r="9" customFormat="false" ht="15" hidden="false" customHeight="true" outlineLevel="0" collapsed="false">
      <c r="A9" s="14" t="s">
        <v>17</v>
      </c>
      <c r="B9" s="14" t="s">
        <v>729</v>
      </c>
      <c r="C9" s="14" t="s">
        <v>730</v>
      </c>
      <c r="D9" s="14" t="s">
        <v>89</v>
      </c>
      <c r="E9" s="14"/>
    </row>
    <row r="10" customFormat="false" ht="15" hidden="false" customHeight="true" outlineLevel="0" collapsed="false">
      <c r="A10" s="14" t="s">
        <v>19</v>
      </c>
      <c r="B10" s="14" t="s">
        <v>731</v>
      </c>
      <c r="C10" s="14" t="s">
        <v>732</v>
      </c>
      <c r="D10" s="14" t="s">
        <v>89</v>
      </c>
      <c r="E10" s="14"/>
    </row>
    <row r="11" customFormat="false" ht="15" hidden="false" customHeight="true" outlineLevel="0" collapsed="false">
      <c r="A11" s="14" t="s">
        <v>21</v>
      </c>
      <c r="B11" s="14" t="s">
        <v>733</v>
      </c>
      <c r="C11" s="14" t="s">
        <v>734</v>
      </c>
      <c r="D11" s="14" t="s">
        <v>89</v>
      </c>
      <c r="E11" s="14"/>
    </row>
    <row r="12" customFormat="false" ht="15" hidden="false" customHeight="true" outlineLevel="0" collapsed="false">
      <c r="A12" s="14" t="s">
        <v>23</v>
      </c>
      <c r="B12" s="14" t="s">
        <v>735</v>
      </c>
      <c r="C12" s="14" t="s">
        <v>736</v>
      </c>
      <c r="D12" s="14" t="s">
        <v>89</v>
      </c>
      <c r="E12" s="14"/>
    </row>
    <row r="13" customFormat="false" ht="15" hidden="false" customHeight="true" outlineLevel="0" collapsed="false">
      <c r="A13" s="14" t="s">
        <v>123</v>
      </c>
      <c r="B13" s="14" t="s">
        <v>737</v>
      </c>
      <c r="C13" s="14" t="s">
        <v>738</v>
      </c>
      <c r="D13" s="14" t="s">
        <v>89</v>
      </c>
      <c r="E13" s="14"/>
    </row>
    <row r="14" customFormat="false" ht="15" hidden="false" customHeight="true" outlineLevel="0" collapsed="false">
      <c r="A14" s="14" t="s">
        <v>127</v>
      </c>
      <c r="B14" s="14" t="s">
        <v>739</v>
      </c>
      <c r="C14" s="14" t="s">
        <v>740</v>
      </c>
      <c r="D14" s="14" t="s">
        <v>89</v>
      </c>
      <c r="E14" s="14"/>
    </row>
    <row r="15" customFormat="false" ht="15" hidden="false" customHeight="true" outlineLevel="0" collapsed="false">
      <c r="A15" s="14" t="s">
        <v>130</v>
      </c>
      <c r="B15" s="14" t="s">
        <v>741</v>
      </c>
      <c r="C15" s="14" t="s">
        <v>742</v>
      </c>
      <c r="D15" s="14" t="s">
        <v>89</v>
      </c>
      <c r="E15" s="14"/>
    </row>
    <row r="16" customFormat="false" ht="15" hidden="false" customHeight="true" outlineLevel="0" collapsed="false">
      <c r="A16" s="11" t="n">
        <v>13</v>
      </c>
      <c r="B16" s="11" t="s">
        <v>743</v>
      </c>
      <c r="C16" s="11" t="s">
        <v>744</v>
      </c>
      <c r="D16" s="11" t="s">
        <v>89</v>
      </c>
      <c r="E16" s="11"/>
    </row>
    <row r="17" customFormat="false" ht="15" hidden="false" customHeight="true" outlineLevel="0" collapsed="false">
      <c r="A17" s="11" t="n">
        <v>14</v>
      </c>
      <c r="B17" s="11" t="s">
        <v>745</v>
      </c>
      <c r="C17" s="11" t="s">
        <v>746</v>
      </c>
      <c r="D17" s="11" t="s">
        <v>89</v>
      </c>
      <c r="E17" s="11"/>
    </row>
    <row r="18" customFormat="false" ht="15" hidden="false" customHeight="true" outlineLevel="0" collapsed="false">
      <c r="A18" s="11" t="n">
        <v>15</v>
      </c>
      <c r="B18" s="11" t="s">
        <v>747</v>
      </c>
      <c r="C18" s="11" t="s">
        <v>748</v>
      </c>
      <c r="D18" s="11" t="s">
        <v>89</v>
      </c>
      <c r="E18" s="11"/>
    </row>
    <row r="19" customFormat="false" ht="15" hidden="false" customHeight="true" outlineLevel="0" collapsed="false">
      <c r="A19" s="11" t="n">
        <v>16</v>
      </c>
      <c r="B19" s="11" t="s">
        <v>749</v>
      </c>
      <c r="C19" s="11" t="s">
        <v>750</v>
      </c>
      <c r="D19" s="11" t="s">
        <v>89</v>
      </c>
      <c r="E19" s="11"/>
    </row>
    <row r="20" customFormat="false" ht="15" hidden="false" customHeight="true" outlineLevel="0" collapsed="false">
      <c r="A20" s="11" t="n">
        <v>17</v>
      </c>
      <c r="B20" s="11" t="s">
        <v>751</v>
      </c>
      <c r="C20" s="11" t="s">
        <v>752</v>
      </c>
      <c r="D20" s="11" t="s">
        <v>89</v>
      </c>
      <c r="E20" s="11"/>
    </row>
  </sheetData>
  <mergeCells count="2">
    <mergeCell ref="A1:E1"/>
    <mergeCell ref="A2:E2"/>
  </mergeCells>
  <dataValidations count="2">
    <dataValidation allowBlank="true" errorStyle="stop" operator="between" showDropDown="false" showErrorMessage="false" showInputMessage="false" sqref="D4:D15" type="list">
      <formula1>"Pass,Fail,Pending,Blocked,N/A"</formula1>
      <formula2>0</formula2>
    </dataValidation>
    <dataValidation allowBlank="true" errorStyle="stop" operator="between" showDropDown="false" showErrorMessage="false" showInputMessage="false" sqref="D16:D20" type="list">
      <formula1>"Pass,Fail,Pending,Blocked,N/A"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6" min="5" style="1" width="11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0" min="10" style="1" width="11"/>
  </cols>
  <sheetData>
    <row r="1" customFormat="false" ht="33.75" hidden="false" customHeight="true" outlineLevel="0" collapsed="false">
      <c r="A1" s="8" t="s">
        <v>753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true" outlineLevel="0" collapsed="false">
      <c r="A2" s="9" t="s">
        <v>754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27.75" hidden="false" customHeight="true" outlineLevel="0" collapsed="false">
      <c r="A3" s="13" t="s">
        <v>755</v>
      </c>
      <c r="B3" s="13" t="s">
        <v>756</v>
      </c>
      <c r="C3" s="13" t="s">
        <v>757</v>
      </c>
      <c r="D3" s="13" t="s">
        <v>758</v>
      </c>
      <c r="E3" s="13" t="s">
        <v>759</v>
      </c>
      <c r="F3" s="13" t="s">
        <v>760</v>
      </c>
      <c r="G3" s="13" t="s">
        <v>761</v>
      </c>
      <c r="H3" s="13" t="s">
        <v>326</v>
      </c>
      <c r="I3" s="13" t="s">
        <v>552</v>
      </c>
      <c r="J3" s="13" t="s">
        <v>503</v>
      </c>
    </row>
    <row r="4" customFormat="false" ht="19.5" hidden="false" customHeight="true" outlineLevel="0" collapsed="false">
      <c r="A4" s="30" t="s">
        <v>762</v>
      </c>
      <c r="B4" s="30"/>
      <c r="C4" s="30"/>
      <c r="D4" s="30"/>
      <c r="E4" s="30"/>
      <c r="F4" s="30"/>
      <c r="G4" s="30"/>
      <c r="H4" s="30"/>
      <c r="I4" s="30"/>
      <c r="J4" s="30"/>
    </row>
    <row r="5" customFormat="false" ht="15" hidden="false" customHeight="true" outlineLevel="0" collapsed="false">
      <c r="A5" s="11" t="s">
        <v>763</v>
      </c>
      <c r="B5" s="11" t="s">
        <v>764</v>
      </c>
      <c r="C5" s="23" t="s">
        <v>765</v>
      </c>
      <c r="D5" s="11" t="s">
        <v>89</v>
      </c>
      <c r="E5" s="11" t="s">
        <v>89</v>
      </c>
      <c r="F5" s="11" t="s">
        <v>89</v>
      </c>
      <c r="G5" s="11" t="s">
        <v>142</v>
      </c>
      <c r="H5" s="11"/>
      <c r="I5" s="11" t="s">
        <v>766</v>
      </c>
      <c r="J5" s="11" t="s">
        <v>89</v>
      </c>
    </row>
    <row r="6" customFormat="false" ht="15" hidden="false" customHeight="true" outlineLevel="0" collapsed="false">
      <c r="A6" s="11" t="s">
        <v>767</v>
      </c>
      <c r="B6" s="11" t="s">
        <v>768</v>
      </c>
      <c r="C6" s="11" t="s">
        <v>769</v>
      </c>
      <c r="D6" s="11" t="s">
        <v>89</v>
      </c>
      <c r="E6" s="11" t="s">
        <v>89</v>
      </c>
      <c r="F6" s="11" t="s">
        <v>89</v>
      </c>
      <c r="G6" s="11" t="s">
        <v>142</v>
      </c>
      <c r="H6" s="11"/>
      <c r="I6" s="11" t="s">
        <v>770</v>
      </c>
      <c r="J6" s="11" t="s">
        <v>89</v>
      </c>
    </row>
    <row r="7" customFormat="false" ht="15" hidden="false" customHeight="true" outlineLevel="0" collapsed="false">
      <c r="A7" s="11" t="s">
        <v>771</v>
      </c>
      <c r="B7" s="11" t="s">
        <v>772</v>
      </c>
      <c r="C7" s="23" t="s">
        <v>773</v>
      </c>
      <c r="D7" s="11" t="s">
        <v>89</v>
      </c>
      <c r="E7" s="11" t="s">
        <v>89</v>
      </c>
      <c r="F7" s="11" t="s">
        <v>89</v>
      </c>
      <c r="G7" s="11" t="s">
        <v>142</v>
      </c>
      <c r="H7" s="11"/>
      <c r="I7" s="11" t="s">
        <v>766</v>
      </c>
      <c r="J7" s="11" t="s">
        <v>89</v>
      </c>
    </row>
    <row r="8" customFormat="false" ht="15" hidden="false" customHeight="true" outlineLevel="0" collapsed="false">
      <c r="A8" s="11" t="s">
        <v>774</v>
      </c>
      <c r="B8" s="11" t="s">
        <v>772</v>
      </c>
      <c r="C8" s="11" t="s">
        <v>775</v>
      </c>
      <c r="D8" s="11" t="s">
        <v>89</v>
      </c>
      <c r="E8" s="11" t="s">
        <v>89</v>
      </c>
      <c r="F8" s="11" t="s">
        <v>89</v>
      </c>
      <c r="G8" s="11" t="s">
        <v>142</v>
      </c>
      <c r="H8" s="11"/>
      <c r="I8" s="11" t="s">
        <v>766</v>
      </c>
      <c r="J8" s="11" t="s">
        <v>89</v>
      </c>
    </row>
    <row r="9" customFormat="false" ht="19.5" hidden="false" customHeight="true" outlineLevel="0" collapsed="false">
      <c r="A9" s="30" t="s">
        <v>776</v>
      </c>
      <c r="B9" s="30"/>
      <c r="C9" s="30"/>
      <c r="D9" s="30"/>
      <c r="E9" s="30"/>
      <c r="F9" s="30"/>
      <c r="G9" s="30"/>
      <c r="H9" s="30"/>
      <c r="I9" s="30"/>
      <c r="J9" s="30"/>
    </row>
    <row r="10" customFormat="false" ht="15" hidden="false" customHeight="true" outlineLevel="0" collapsed="false">
      <c r="A10" s="11" t="s">
        <v>777</v>
      </c>
      <c r="B10" s="11" t="s">
        <v>778</v>
      </c>
      <c r="C10" s="11" t="s">
        <v>779</v>
      </c>
      <c r="D10" s="11" t="s">
        <v>89</v>
      </c>
      <c r="E10" s="11" t="s">
        <v>89</v>
      </c>
      <c r="F10" s="11" t="s">
        <v>89</v>
      </c>
      <c r="G10" s="11" t="s">
        <v>142</v>
      </c>
      <c r="H10" s="11"/>
      <c r="I10" s="11" t="s">
        <v>780</v>
      </c>
      <c r="J10" s="11" t="s">
        <v>89</v>
      </c>
    </row>
    <row r="11" customFormat="false" ht="15" hidden="false" customHeight="true" outlineLevel="0" collapsed="false">
      <c r="A11" s="11" t="s">
        <v>781</v>
      </c>
      <c r="B11" s="11" t="s">
        <v>778</v>
      </c>
      <c r="C11" s="11" t="s">
        <v>782</v>
      </c>
      <c r="D11" s="11" t="s">
        <v>89</v>
      </c>
      <c r="E11" s="11" t="s">
        <v>89</v>
      </c>
      <c r="F11" s="11" t="s">
        <v>89</v>
      </c>
      <c r="G11" s="11" t="s">
        <v>142</v>
      </c>
      <c r="H11" s="11"/>
      <c r="I11" s="11" t="s">
        <v>780</v>
      </c>
      <c r="J11" s="11" t="s">
        <v>89</v>
      </c>
    </row>
    <row r="12" customFormat="false" ht="15" hidden="false" customHeight="true" outlineLevel="0" collapsed="false">
      <c r="A12" s="11" t="s">
        <v>783</v>
      </c>
      <c r="B12" s="11" t="s">
        <v>784</v>
      </c>
      <c r="C12" s="11" t="s">
        <v>785</v>
      </c>
      <c r="D12" s="11" t="s">
        <v>89</v>
      </c>
      <c r="E12" s="11" t="s">
        <v>89</v>
      </c>
      <c r="F12" s="11" t="s">
        <v>89</v>
      </c>
      <c r="G12" s="11" t="s">
        <v>142</v>
      </c>
      <c r="H12" s="11"/>
      <c r="I12" s="11" t="s">
        <v>780</v>
      </c>
      <c r="J12" s="11" t="s">
        <v>89</v>
      </c>
    </row>
    <row r="13" customFormat="false" ht="15" hidden="false" customHeight="true" outlineLevel="0" collapsed="false">
      <c r="A13" s="11" t="s">
        <v>786</v>
      </c>
      <c r="B13" s="11" t="s">
        <v>784</v>
      </c>
      <c r="C13" s="11" t="s">
        <v>787</v>
      </c>
      <c r="D13" s="11" t="s">
        <v>89</v>
      </c>
      <c r="E13" s="11" t="s">
        <v>89</v>
      </c>
      <c r="F13" s="11" t="s">
        <v>89</v>
      </c>
      <c r="G13" s="11" t="s">
        <v>142</v>
      </c>
      <c r="H13" s="11"/>
      <c r="I13" s="11" t="s">
        <v>780</v>
      </c>
      <c r="J13" s="11" t="s">
        <v>89</v>
      </c>
    </row>
    <row r="14" customFormat="false" ht="15" hidden="false" customHeight="true" outlineLevel="0" collapsed="false">
      <c r="A14" s="11" t="s">
        <v>788</v>
      </c>
      <c r="B14" s="11" t="s">
        <v>784</v>
      </c>
      <c r="C14" s="11" t="s">
        <v>789</v>
      </c>
      <c r="D14" s="11" t="s">
        <v>89</v>
      </c>
      <c r="E14" s="11" t="s">
        <v>89</v>
      </c>
      <c r="F14" s="11" t="s">
        <v>89</v>
      </c>
      <c r="G14" s="11" t="s">
        <v>142</v>
      </c>
      <c r="H14" s="11"/>
      <c r="I14" s="11" t="s">
        <v>770</v>
      </c>
      <c r="J14" s="11" t="s">
        <v>89</v>
      </c>
    </row>
    <row r="15" customFormat="false" ht="19.5" hidden="false" customHeight="true" outlineLevel="0" collapsed="false">
      <c r="A15" s="30" t="s">
        <v>790</v>
      </c>
      <c r="B15" s="30"/>
      <c r="C15" s="30"/>
      <c r="D15" s="30"/>
      <c r="E15" s="30"/>
      <c r="F15" s="30"/>
      <c r="G15" s="30"/>
      <c r="H15" s="30"/>
      <c r="I15" s="30"/>
      <c r="J15" s="30"/>
    </row>
    <row r="16" customFormat="false" ht="15" hidden="false" customHeight="true" outlineLevel="0" collapsed="false">
      <c r="A16" s="11" t="s">
        <v>791</v>
      </c>
      <c r="B16" s="11" t="s">
        <v>784</v>
      </c>
      <c r="C16" s="11" t="s">
        <v>792</v>
      </c>
      <c r="D16" s="11" t="s">
        <v>89</v>
      </c>
      <c r="E16" s="11" t="s">
        <v>89</v>
      </c>
      <c r="F16" s="11" t="s">
        <v>89</v>
      </c>
      <c r="G16" s="11" t="s">
        <v>142</v>
      </c>
      <c r="H16" s="11"/>
      <c r="I16" s="11" t="s">
        <v>780</v>
      </c>
      <c r="J16" s="11" t="s">
        <v>89</v>
      </c>
    </row>
    <row r="17" customFormat="false" ht="15" hidden="false" customHeight="true" outlineLevel="0" collapsed="false">
      <c r="A17" s="11" t="s">
        <v>793</v>
      </c>
      <c r="B17" s="11" t="s">
        <v>784</v>
      </c>
      <c r="C17" s="11" t="s">
        <v>794</v>
      </c>
      <c r="D17" s="11" t="s">
        <v>89</v>
      </c>
      <c r="E17" s="11" t="s">
        <v>89</v>
      </c>
      <c r="F17" s="11" t="s">
        <v>89</v>
      </c>
      <c r="G17" s="11" t="s">
        <v>142</v>
      </c>
      <c r="H17" s="11"/>
      <c r="I17" s="11" t="s">
        <v>770</v>
      </c>
      <c r="J17" s="11" t="s">
        <v>89</v>
      </c>
    </row>
    <row r="18" customFormat="false" ht="15" hidden="false" customHeight="true" outlineLevel="0" collapsed="false">
      <c r="A18" s="11" t="s">
        <v>795</v>
      </c>
      <c r="B18" s="11" t="s">
        <v>796</v>
      </c>
      <c r="C18" s="11" t="s">
        <v>797</v>
      </c>
      <c r="D18" s="11" t="s">
        <v>89</v>
      </c>
      <c r="E18" s="11" t="s">
        <v>89</v>
      </c>
      <c r="F18" s="11" t="s">
        <v>89</v>
      </c>
      <c r="G18" s="11" t="s">
        <v>142</v>
      </c>
      <c r="H18" s="11"/>
      <c r="I18" s="11" t="s">
        <v>780</v>
      </c>
      <c r="J18" s="11" t="s">
        <v>89</v>
      </c>
    </row>
    <row r="19" customFormat="false" ht="15" hidden="false" customHeight="true" outlineLevel="0" collapsed="false">
      <c r="A19" s="11" t="s">
        <v>798</v>
      </c>
      <c r="B19" s="11" t="s">
        <v>784</v>
      </c>
      <c r="C19" s="11" t="s">
        <v>799</v>
      </c>
      <c r="D19" s="11" t="s">
        <v>89</v>
      </c>
      <c r="E19" s="11" t="s">
        <v>89</v>
      </c>
      <c r="F19" s="11" t="s">
        <v>89</v>
      </c>
      <c r="G19" s="11" t="s">
        <v>142</v>
      </c>
      <c r="H19" s="11"/>
      <c r="I19" s="11" t="s">
        <v>770</v>
      </c>
      <c r="J19" s="11" t="s">
        <v>89</v>
      </c>
    </row>
    <row r="20" customFormat="false" ht="15" hidden="false" customHeight="true" outlineLevel="0" collapsed="false">
      <c r="A20" s="11" t="s">
        <v>800</v>
      </c>
      <c r="B20" s="11" t="s">
        <v>796</v>
      </c>
      <c r="C20" s="11" t="s">
        <v>801</v>
      </c>
      <c r="D20" s="11" t="s">
        <v>89</v>
      </c>
      <c r="E20" s="11" t="s">
        <v>89</v>
      </c>
      <c r="F20" s="11" t="s">
        <v>89</v>
      </c>
      <c r="G20" s="11" t="s">
        <v>142</v>
      </c>
      <c r="H20" s="11"/>
      <c r="I20" s="11" t="s">
        <v>770</v>
      </c>
      <c r="J20" s="11" t="s">
        <v>89</v>
      </c>
    </row>
    <row r="21" customFormat="false" ht="15" hidden="false" customHeight="true" outlineLevel="0" collapsed="false">
      <c r="A21" s="11" t="s">
        <v>802</v>
      </c>
      <c r="B21" s="11" t="s">
        <v>778</v>
      </c>
      <c r="C21" s="11" t="s">
        <v>803</v>
      </c>
      <c r="D21" s="11" t="s">
        <v>89</v>
      </c>
      <c r="E21" s="11" t="s">
        <v>89</v>
      </c>
      <c r="F21" s="11" t="s">
        <v>89</v>
      </c>
      <c r="G21" s="11" t="s">
        <v>142</v>
      </c>
      <c r="H21" s="11"/>
      <c r="I21" s="11" t="s">
        <v>770</v>
      </c>
      <c r="J21" s="11" t="s">
        <v>89</v>
      </c>
    </row>
    <row r="22" customFormat="false" ht="15" hidden="false" customHeight="true" outlineLevel="0" collapsed="false">
      <c r="A22" s="11" t="s">
        <v>804</v>
      </c>
      <c r="B22" s="11" t="s">
        <v>796</v>
      </c>
      <c r="C22" s="11" t="s">
        <v>805</v>
      </c>
      <c r="D22" s="11" t="s">
        <v>89</v>
      </c>
      <c r="E22" s="11" t="s">
        <v>89</v>
      </c>
      <c r="F22" s="11" t="s">
        <v>89</v>
      </c>
      <c r="G22" s="11" t="s">
        <v>142</v>
      </c>
      <c r="H22" s="11"/>
      <c r="I22" s="11" t="s">
        <v>780</v>
      </c>
      <c r="J22" s="11" t="s">
        <v>89</v>
      </c>
    </row>
    <row r="23" customFormat="false" ht="15" hidden="false" customHeight="true" outlineLevel="0" collapsed="false">
      <c r="A23" s="11" t="s">
        <v>806</v>
      </c>
      <c r="B23" s="11" t="s">
        <v>778</v>
      </c>
      <c r="C23" s="11" t="s">
        <v>801</v>
      </c>
      <c r="D23" s="11" t="s">
        <v>89</v>
      </c>
      <c r="E23" s="11" t="s">
        <v>89</v>
      </c>
      <c r="F23" s="11" t="s">
        <v>89</v>
      </c>
      <c r="G23" s="11" t="s">
        <v>142</v>
      </c>
      <c r="H23" s="11"/>
      <c r="I23" s="11" t="s">
        <v>770</v>
      </c>
      <c r="J23" s="11" t="s">
        <v>89</v>
      </c>
    </row>
    <row r="24" customFormat="false" ht="19.5" hidden="false" customHeight="true" outlineLevel="0" collapsed="false">
      <c r="A24" s="30" t="s">
        <v>807</v>
      </c>
      <c r="B24" s="30"/>
      <c r="C24" s="30"/>
      <c r="D24" s="30"/>
      <c r="E24" s="30"/>
      <c r="F24" s="30"/>
      <c r="G24" s="30"/>
      <c r="H24" s="30"/>
      <c r="I24" s="30"/>
      <c r="J24" s="30"/>
    </row>
    <row r="25" customFormat="false" ht="21.75" hidden="false" customHeight="true" outlineLevel="0" collapsed="false">
      <c r="A25" s="38" t="s">
        <v>808</v>
      </c>
      <c r="B25" s="11" t="s">
        <v>809</v>
      </c>
      <c r="C25" s="11" t="s">
        <v>810</v>
      </c>
      <c r="D25" s="11" t="s">
        <v>89</v>
      </c>
      <c r="E25" s="11" t="s">
        <v>89</v>
      </c>
      <c r="F25" s="11" t="s">
        <v>89</v>
      </c>
      <c r="G25" s="11" t="s">
        <v>89</v>
      </c>
      <c r="H25" s="11"/>
      <c r="I25" s="11" t="s">
        <v>766</v>
      </c>
      <c r="J25" s="11" t="s">
        <v>89</v>
      </c>
    </row>
    <row r="26" customFormat="false" ht="15" hidden="false" customHeight="true" outlineLevel="0" collapsed="false">
      <c r="A26" s="11" t="s">
        <v>811</v>
      </c>
      <c r="B26" s="11" t="s">
        <v>812</v>
      </c>
      <c r="C26" s="11" t="s">
        <v>813</v>
      </c>
      <c r="D26" s="11" t="s">
        <v>89</v>
      </c>
      <c r="E26" s="11" t="s">
        <v>89</v>
      </c>
      <c r="F26" s="11" t="s">
        <v>89</v>
      </c>
      <c r="G26" s="11" t="s">
        <v>142</v>
      </c>
      <c r="H26" s="11"/>
      <c r="I26" s="11" t="s">
        <v>780</v>
      </c>
      <c r="J26" s="11" t="s">
        <v>89</v>
      </c>
    </row>
    <row r="27" customFormat="false" ht="15" hidden="false" customHeight="true" outlineLevel="0" collapsed="false">
      <c r="A27" s="11" t="s">
        <v>814</v>
      </c>
      <c r="B27" s="11" t="s">
        <v>812</v>
      </c>
      <c r="C27" s="11" t="s">
        <v>815</v>
      </c>
      <c r="D27" s="11" t="s">
        <v>89</v>
      </c>
      <c r="E27" s="11" t="s">
        <v>89</v>
      </c>
      <c r="F27" s="11" t="s">
        <v>89</v>
      </c>
      <c r="G27" s="11" t="s">
        <v>142</v>
      </c>
      <c r="H27" s="11"/>
      <c r="I27" s="11" t="s">
        <v>766</v>
      </c>
      <c r="J27" s="11" t="s">
        <v>89</v>
      </c>
    </row>
    <row r="28" customFormat="false" ht="21.75" hidden="false" customHeight="true" outlineLevel="0" collapsed="false">
      <c r="A28" s="38" t="s">
        <v>816</v>
      </c>
      <c r="B28" s="11" t="s">
        <v>817</v>
      </c>
      <c r="C28" s="11" t="s">
        <v>818</v>
      </c>
      <c r="D28" s="11" t="s">
        <v>89</v>
      </c>
      <c r="E28" s="11" t="s">
        <v>89</v>
      </c>
      <c r="F28" s="11" t="s">
        <v>89</v>
      </c>
      <c r="G28" s="11" t="s">
        <v>89</v>
      </c>
      <c r="H28" s="11"/>
      <c r="I28" s="11" t="s">
        <v>766</v>
      </c>
      <c r="J28" s="11" t="s">
        <v>89</v>
      </c>
    </row>
    <row r="29" customFormat="false" ht="19.5" hidden="false" customHeight="true" outlineLevel="0" collapsed="false">
      <c r="A29" s="30" t="s">
        <v>378</v>
      </c>
      <c r="B29" s="30"/>
      <c r="C29" s="30"/>
      <c r="D29" s="30"/>
      <c r="E29" s="30"/>
      <c r="F29" s="30"/>
      <c r="G29" s="30"/>
      <c r="H29" s="30"/>
      <c r="I29" s="30"/>
      <c r="J29" s="30"/>
    </row>
    <row r="30" customFormat="false" ht="15" hidden="false" customHeight="true" outlineLevel="0" collapsed="false">
      <c r="A30" s="11" t="s">
        <v>819</v>
      </c>
      <c r="B30" s="11" t="s">
        <v>768</v>
      </c>
      <c r="C30" s="11" t="s">
        <v>820</v>
      </c>
      <c r="D30" s="11" t="s">
        <v>89</v>
      </c>
      <c r="E30" s="11" t="s">
        <v>89</v>
      </c>
      <c r="F30" s="11" t="s">
        <v>89</v>
      </c>
      <c r="G30" s="11" t="s">
        <v>142</v>
      </c>
      <c r="H30" s="11"/>
      <c r="I30" s="11" t="s">
        <v>780</v>
      </c>
      <c r="J30" s="11" t="s">
        <v>89</v>
      </c>
    </row>
    <row r="31" customFormat="false" ht="15" hidden="false" customHeight="true" outlineLevel="0" collapsed="false">
      <c r="A31" s="11" t="s">
        <v>821</v>
      </c>
      <c r="B31" s="11" t="s">
        <v>768</v>
      </c>
      <c r="C31" s="11" t="s">
        <v>822</v>
      </c>
      <c r="D31" s="11" t="s">
        <v>89</v>
      </c>
      <c r="E31" s="11" t="s">
        <v>89</v>
      </c>
      <c r="F31" s="11" t="s">
        <v>89</v>
      </c>
      <c r="G31" s="11" t="s">
        <v>142</v>
      </c>
      <c r="H31" s="11"/>
      <c r="I31" s="11" t="s">
        <v>780</v>
      </c>
      <c r="J31" s="11" t="s">
        <v>89</v>
      </c>
    </row>
    <row r="32" customFormat="false" ht="15" hidden="false" customHeight="true" outlineLevel="0" collapsed="false">
      <c r="A32" s="11" t="s">
        <v>823</v>
      </c>
      <c r="B32" s="11" t="s">
        <v>768</v>
      </c>
      <c r="C32" s="11" t="s">
        <v>822</v>
      </c>
      <c r="D32" s="11" t="s">
        <v>89</v>
      </c>
      <c r="E32" s="11" t="s">
        <v>89</v>
      </c>
      <c r="F32" s="11" t="s">
        <v>89</v>
      </c>
      <c r="G32" s="11" t="s">
        <v>142</v>
      </c>
      <c r="H32" s="11"/>
      <c r="I32" s="11" t="s">
        <v>770</v>
      </c>
      <c r="J32" s="11" t="s">
        <v>89</v>
      </c>
    </row>
    <row r="33" customFormat="false" ht="19.5" hidden="false" customHeight="true" outlineLevel="0" collapsed="false">
      <c r="A33" s="30" t="s">
        <v>824</v>
      </c>
      <c r="B33" s="30"/>
      <c r="C33" s="30"/>
      <c r="D33" s="30"/>
      <c r="E33" s="30"/>
      <c r="F33" s="30"/>
      <c r="G33" s="30"/>
      <c r="H33" s="30"/>
      <c r="I33" s="30"/>
      <c r="J33" s="30"/>
    </row>
    <row r="34" customFormat="false" ht="21.75" hidden="false" customHeight="true" outlineLevel="0" collapsed="false">
      <c r="A34" s="11" t="s">
        <v>825</v>
      </c>
      <c r="B34" s="11" t="s">
        <v>826</v>
      </c>
      <c r="C34" s="11" t="s">
        <v>827</v>
      </c>
      <c r="D34" s="11" t="s">
        <v>89</v>
      </c>
      <c r="E34" s="11" t="s">
        <v>89</v>
      </c>
      <c r="F34" s="11" t="s">
        <v>89</v>
      </c>
      <c r="G34" s="11" t="s">
        <v>142</v>
      </c>
      <c r="H34" s="11"/>
      <c r="I34" s="11" t="s">
        <v>780</v>
      </c>
      <c r="J34" s="11" t="s">
        <v>89</v>
      </c>
    </row>
    <row r="35" customFormat="false" ht="15" hidden="false" customHeight="true" outlineLevel="0" collapsed="false">
      <c r="A35" s="11" t="s">
        <v>828</v>
      </c>
      <c r="B35" s="11" t="s">
        <v>829</v>
      </c>
      <c r="C35" s="11" t="s">
        <v>830</v>
      </c>
      <c r="D35" s="11" t="s">
        <v>89</v>
      </c>
      <c r="E35" s="11" t="s">
        <v>89</v>
      </c>
      <c r="F35" s="11" t="s">
        <v>89</v>
      </c>
      <c r="G35" s="11" t="s">
        <v>142</v>
      </c>
      <c r="H35" s="11"/>
      <c r="I35" s="11" t="s">
        <v>780</v>
      </c>
      <c r="J35" s="11" t="s">
        <v>89</v>
      </c>
    </row>
    <row r="36" customFormat="false" ht="15" hidden="false" customHeight="true" outlineLevel="0" collapsed="false">
      <c r="A36" s="11" t="s">
        <v>831</v>
      </c>
      <c r="B36" s="11" t="s">
        <v>829</v>
      </c>
      <c r="C36" s="11" t="s">
        <v>832</v>
      </c>
      <c r="D36" s="11" t="s">
        <v>89</v>
      </c>
      <c r="E36" s="11" t="s">
        <v>89</v>
      </c>
      <c r="F36" s="11" t="s">
        <v>89</v>
      </c>
      <c r="G36" s="11" t="s">
        <v>142</v>
      </c>
      <c r="H36" s="11"/>
      <c r="I36" s="11" t="s">
        <v>770</v>
      </c>
      <c r="J36" s="11" t="s">
        <v>89</v>
      </c>
    </row>
    <row r="37" customFormat="false" ht="15" hidden="false" customHeight="true" outlineLevel="0" collapsed="false">
      <c r="A37" s="11" t="s">
        <v>833</v>
      </c>
      <c r="B37" s="11" t="s">
        <v>829</v>
      </c>
      <c r="C37" s="11" t="s">
        <v>834</v>
      </c>
      <c r="D37" s="11" t="s">
        <v>89</v>
      </c>
      <c r="E37" s="11" t="s">
        <v>89</v>
      </c>
      <c r="F37" s="11" t="s">
        <v>89</v>
      </c>
      <c r="G37" s="11" t="s">
        <v>142</v>
      </c>
      <c r="H37" s="11"/>
      <c r="I37" s="11" t="s">
        <v>780</v>
      </c>
      <c r="J37" s="11" t="s">
        <v>89</v>
      </c>
    </row>
    <row r="38" customFormat="false" ht="19.5" hidden="false" customHeight="true" outlineLevel="0" collapsed="false">
      <c r="A38" s="30" t="s">
        <v>835</v>
      </c>
      <c r="B38" s="30"/>
      <c r="C38" s="30"/>
      <c r="D38" s="30"/>
      <c r="E38" s="30"/>
      <c r="F38" s="30"/>
      <c r="G38" s="30"/>
      <c r="H38" s="30"/>
      <c r="I38" s="30"/>
      <c r="J38" s="30"/>
    </row>
    <row r="39" customFormat="false" ht="15" hidden="false" customHeight="true" outlineLevel="0" collapsed="false">
      <c r="A39" s="11" t="s">
        <v>836</v>
      </c>
      <c r="B39" s="24" t="s">
        <v>837</v>
      </c>
      <c r="C39" s="11" t="s">
        <v>838</v>
      </c>
      <c r="D39" s="11" t="s">
        <v>89</v>
      </c>
      <c r="E39" s="11" t="s">
        <v>89</v>
      </c>
      <c r="F39" s="11" t="s">
        <v>89</v>
      </c>
      <c r="G39" s="11" t="s">
        <v>142</v>
      </c>
      <c r="H39" s="11"/>
      <c r="I39" s="11" t="s">
        <v>780</v>
      </c>
      <c r="J39" s="11" t="s">
        <v>89</v>
      </c>
    </row>
    <row r="40" customFormat="false" ht="15" hidden="false" customHeight="true" outlineLevel="0" collapsed="false">
      <c r="A40" s="11" t="s">
        <v>839</v>
      </c>
      <c r="B40" s="24" t="s">
        <v>837</v>
      </c>
      <c r="C40" s="11" t="s">
        <v>838</v>
      </c>
      <c r="D40" s="11" t="s">
        <v>89</v>
      </c>
      <c r="E40" s="11" t="s">
        <v>89</v>
      </c>
      <c r="F40" s="11" t="s">
        <v>89</v>
      </c>
      <c r="G40" s="11" t="s">
        <v>142</v>
      </c>
      <c r="H40" s="11"/>
      <c r="I40" s="11" t="s">
        <v>780</v>
      </c>
      <c r="J40" s="11" t="s">
        <v>89</v>
      </c>
    </row>
    <row r="41" customFormat="false" ht="15" hidden="false" customHeight="true" outlineLevel="0" collapsed="false">
      <c r="A41" s="11" t="s">
        <v>840</v>
      </c>
      <c r="B41" s="24" t="s">
        <v>837</v>
      </c>
      <c r="C41" s="11" t="s">
        <v>838</v>
      </c>
      <c r="D41" s="11" t="s">
        <v>89</v>
      </c>
      <c r="E41" s="11" t="s">
        <v>89</v>
      </c>
      <c r="F41" s="11" t="s">
        <v>89</v>
      </c>
      <c r="G41" s="11" t="s">
        <v>142</v>
      </c>
      <c r="H41" s="11"/>
      <c r="I41" s="11" t="s">
        <v>780</v>
      </c>
      <c r="J41" s="11" t="s">
        <v>89</v>
      </c>
    </row>
    <row r="42" customFormat="false" ht="15" hidden="false" customHeight="true" outlineLevel="0" collapsed="false">
      <c r="A42" s="11" t="s">
        <v>841</v>
      </c>
      <c r="B42" s="24" t="s">
        <v>837</v>
      </c>
      <c r="C42" s="11" t="s">
        <v>838</v>
      </c>
      <c r="D42" s="11" t="s">
        <v>89</v>
      </c>
      <c r="E42" s="11" t="s">
        <v>89</v>
      </c>
      <c r="F42" s="11" t="s">
        <v>89</v>
      </c>
      <c r="G42" s="11" t="s">
        <v>142</v>
      </c>
      <c r="H42" s="11"/>
      <c r="I42" s="11" t="s">
        <v>770</v>
      </c>
      <c r="J42" s="11" t="s">
        <v>89</v>
      </c>
    </row>
    <row r="43" customFormat="false" ht="15" hidden="false" customHeight="true" outlineLevel="0" collapsed="false">
      <c r="A43" s="11" t="s">
        <v>842</v>
      </c>
      <c r="B43" s="24" t="s">
        <v>837</v>
      </c>
      <c r="C43" s="11" t="s">
        <v>838</v>
      </c>
      <c r="D43" s="11" t="s">
        <v>89</v>
      </c>
      <c r="E43" s="11" t="s">
        <v>89</v>
      </c>
      <c r="F43" s="11" t="s">
        <v>89</v>
      </c>
      <c r="G43" s="11" t="s">
        <v>142</v>
      </c>
      <c r="H43" s="11"/>
      <c r="I43" s="11" t="s">
        <v>770</v>
      </c>
      <c r="J43" s="11" t="s">
        <v>89</v>
      </c>
    </row>
    <row r="44" customFormat="false" ht="15" hidden="false" customHeight="true" outlineLevel="0" collapsed="false">
      <c r="A44" s="11" t="s">
        <v>843</v>
      </c>
      <c r="B44" s="24" t="s">
        <v>837</v>
      </c>
      <c r="C44" s="11" t="s">
        <v>838</v>
      </c>
      <c r="D44" s="11" t="s">
        <v>89</v>
      </c>
      <c r="E44" s="11" t="s">
        <v>89</v>
      </c>
      <c r="F44" s="11" t="s">
        <v>89</v>
      </c>
      <c r="G44" s="11" t="s">
        <v>142</v>
      </c>
      <c r="H44" s="11"/>
      <c r="I44" s="11" t="s">
        <v>770</v>
      </c>
      <c r="J44" s="11" t="s">
        <v>89</v>
      </c>
    </row>
    <row r="45" customFormat="false" ht="15" hidden="false" customHeight="true" outlineLevel="0" collapsed="false">
      <c r="A45" s="11" t="s">
        <v>844</v>
      </c>
      <c r="B45" s="25" t="s">
        <v>778</v>
      </c>
      <c r="C45" s="11" t="s">
        <v>845</v>
      </c>
      <c r="D45" s="11" t="s">
        <v>89</v>
      </c>
      <c r="E45" s="11" t="s">
        <v>89</v>
      </c>
      <c r="F45" s="11" t="s">
        <v>89</v>
      </c>
      <c r="G45" s="11" t="s">
        <v>142</v>
      </c>
      <c r="H45" s="11"/>
      <c r="I45" s="11" t="s">
        <v>770</v>
      </c>
      <c r="J45" s="11" t="s">
        <v>89</v>
      </c>
    </row>
    <row r="46" customFormat="false" ht="15" hidden="false" customHeight="true" outlineLevel="0" collapsed="false">
      <c r="A46" s="11" t="s">
        <v>846</v>
      </c>
      <c r="B46" s="24" t="s">
        <v>837</v>
      </c>
      <c r="C46" s="11" t="s">
        <v>847</v>
      </c>
      <c r="D46" s="11" t="s">
        <v>89</v>
      </c>
      <c r="E46" s="11" t="s">
        <v>89</v>
      </c>
      <c r="F46" s="11" t="s">
        <v>89</v>
      </c>
      <c r="G46" s="11" t="s">
        <v>142</v>
      </c>
      <c r="H46" s="11"/>
      <c r="I46" s="11" t="s">
        <v>780</v>
      </c>
      <c r="J46" s="11" t="s">
        <v>89</v>
      </c>
    </row>
    <row r="47" customFormat="false" ht="15" hidden="false" customHeight="true" outlineLevel="0" collapsed="false">
      <c r="A47" s="30" t="s">
        <v>848</v>
      </c>
      <c r="B47" s="30"/>
      <c r="C47" s="30"/>
      <c r="D47" s="30"/>
      <c r="E47" s="30"/>
      <c r="F47" s="30"/>
      <c r="G47" s="30"/>
      <c r="H47" s="30"/>
      <c r="I47" s="30"/>
      <c r="J47" s="30"/>
    </row>
    <row r="48" customFormat="false" ht="15" hidden="false" customHeight="true" outlineLevel="0" collapsed="false">
      <c r="A48" s="11" t="s">
        <v>849</v>
      </c>
      <c r="B48" s="24" t="s">
        <v>850</v>
      </c>
      <c r="C48" s="11" t="s">
        <v>851</v>
      </c>
      <c r="D48" s="11" t="s">
        <v>89</v>
      </c>
      <c r="E48" s="11" t="s">
        <v>89</v>
      </c>
      <c r="F48" s="11" t="s">
        <v>142</v>
      </c>
      <c r="G48" s="11" t="s">
        <v>142</v>
      </c>
      <c r="H48" s="11"/>
      <c r="I48" s="11" t="s">
        <v>770</v>
      </c>
      <c r="J48" s="11" t="s">
        <v>89</v>
      </c>
    </row>
    <row r="49" customFormat="false" ht="15" hidden="false" customHeight="true" outlineLevel="0" collapsed="false">
      <c r="A49" s="11" t="s">
        <v>852</v>
      </c>
      <c r="B49" s="24" t="s">
        <v>850</v>
      </c>
      <c r="C49" s="11" t="s">
        <v>853</v>
      </c>
      <c r="D49" s="11" t="s">
        <v>89</v>
      </c>
      <c r="E49" s="11" t="s">
        <v>89</v>
      </c>
      <c r="F49" s="11" t="s">
        <v>142</v>
      </c>
      <c r="G49" s="11" t="s">
        <v>142</v>
      </c>
      <c r="H49" s="11"/>
      <c r="I49" s="11" t="s">
        <v>770</v>
      </c>
      <c r="J49" s="11" t="s">
        <v>89</v>
      </c>
    </row>
    <row r="50" customFormat="false" ht="15" hidden="false" customHeight="true" outlineLevel="0" collapsed="false">
      <c r="A50" s="11" t="s">
        <v>854</v>
      </c>
      <c r="B50" s="24" t="s">
        <v>850</v>
      </c>
      <c r="C50" s="11" t="s">
        <v>855</v>
      </c>
      <c r="D50" s="11" t="s">
        <v>89</v>
      </c>
      <c r="E50" s="11" t="s">
        <v>89</v>
      </c>
      <c r="F50" s="11" t="s">
        <v>142</v>
      </c>
      <c r="G50" s="11" t="s">
        <v>142</v>
      </c>
      <c r="H50" s="11"/>
      <c r="I50" s="11" t="s">
        <v>780</v>
      </c>
      <c r="J50" s="11" t="s">
        <v>89</v>
      </c>
    </row>
    <row r="51" customFormat="false" ht="15" hidden="false" customHeight="true" outlineLevel="0" collapsed="false">
      <c r="A51" s="11" t="s">
        <v>856</v>
      </c>
      <c r="B51" s="24" t="s">
        <v>850</v>
      </c>
      <c r="C51" s="11" t="s">
        <v>851</v>
      </c>
      <c r="D51" s="11" t="s">
        <v>89</v>
      </c>
      <c r="E51" s="11" t="s">
        <v>89</v>
      </c>
      <c r="F51" s="11" t="s">
        <v>142</v>
      </c>
      <c r="G51" s="11" t="s">
        <v>142</v>
      </c>
      <c r="H51" s="11"/>
      <c r="I51" s="11" t="s">
        <v>770</v>
      </c>
      <c r="J51" s="11" t="s">
        <v>89</v>
      </c>
    </row>
    <row r="52" customFormat="false" ht="15" hidden="false" customHeight="true" outlineLevel="0" collapsed="false">
      <c r="A52" s="11" t="s">
        <v>857</v>
      </c>
      <c r="B52" s="24" t="s">
        <v>850</v>
      </c>
      <c r="C52" s="11" t="s">
        <v>858</v>
      </c>
      <c r="D52" s="11" t="s">
        <v>89</v>
      </c>
      <c r="E52" s="11" t="s">
        <v>89</v>
      </c>
      <c r="F52" s="11" t="s">
        <v>142</v>
      </c>
      <c r="G52" s="11" t="s">
        <v>142</v>
      </c>
      <c r="H52" s="11"/>
      <c r="I52" s="11" t="s">
        <v>780</v>
      </c>
      <c r="J52" s="11" t="s">
        <v>89</v>
      </c>
    </row>
    <row r="53" customFormat="false" ht="21.75" hidden="false" customHeight="true" outlineLevel="0" collapsed="false">
      <c r="A53" s="11" t="s">
        <v>859</v>
      </c>
      <c r="B53" s="24" t="s">
        <v>850</v>
      </c>
      <c r="C53" s="11" t="s">
        <v>860</v>
      </c>
      <c r="D53" s="11" t="s">
        <v>89</v>
      </c>
      <c r="E53" s="11" t="s">
        <v>89</v>
      </c>
      <c r="F53" s="11" t="s">
        <v>142</v>
      </c>
      <c r="G53" s="11" t="s">
        <v>142</v>
      </c>
      <c r="H53" s="11"/>
      <c r="I53" s="11" t="s">
        <v>780</v>
      </c>
      <c r="J53" s="11" t="s">
        <v>89</v>
      </c>
    </row>
    <row r="54" customFormat="false" ht="15" hidden="false" customHeight="true" outlineLevel="0" collapsed="false">
      <c r="A54" s="11" t="s">
        <v>861</v>
      </c>
      <c r="B54" s="24" t="s">
        <v>850</v>
      </c>
      <c r="C54" s="11" t="s">
        <v>851</v>
      </c>
      <c r="D54" s="11" t="s">
        <v>89</v>
      </c>
      <c r="E54" s="11" t="s">
        <v>89</v>
      </c>
      <c r="F54" s="11" t="s">
        <v>142</v>
      </c>
      <c r="G54" s="11" t="s">
        <v>142</v>
      </c>
      <c r="H54" s="11"/>
      <c r="I54" s="11" t="s">
        <v>770</v>
      </c>
      <c r="J54" s="11" t="s">
        <v>89</v>
      </c>
    </row>
    <row r="55" customFormat="false" ht="15" hidden="false" customHeight="true" outlineLevel="0" collapsed="false">
      <c r="A55" s="30" t="s">
        <v>862</v>
      </c>
      <c r="B55" s="30"/>
      <c r="C55" s="30"/>
      <c r="D55" s="30"/>
      <c r="E55" s="30"/>
      <c r="F55" s="30"/>
      <c r="G55" s="30"/>
      <c r="H55" s="30"/>
      <c r="I55" s="30"/>
      <c r="J55" s="30"/>
    </row>
    <row r="56" customFormat="false" ht="32.25" hidden="false" customHeight="true" outlineLevel="0" collapsed="false">
      <c r="A56" s="11" t="s">
        <v>863</v>
      </c>
      <c r="B56" s="24" t="s">
        <v>778</v>
      </c>
      <c r="C56" s="11" t="s">
        <v>864</v>
      </c>
      <c r="D56" s="11" t="s">
        <v>89</v>
      </c>
      <c r="E56" s="11" t="s">
        <v>89</v>
      </c>
      <c r="F56" s="11" t="s">
        <v>142</v>
      </c>
      <c r="G56" s="11" t="s">
        <v>142</v>
      </c>
      <c r="H56" s="11"/>
      <c r="I56" s="11" t="s">
        <v>780</v>
      </c>
      <c r="J56" s="11" t="s">
        <v>89</v>
      </c>
    </row>
    <row r="57" customFormat="false" ht="21.75" hidden="false" customHeight="true" outlineLevel="0" collapsed="false">
      <c r="A57" s="16" t="s">
        <v>865</v>
      </c>
      <c r="B57" s="24" t="s">
        <v>850</v>
      </c>
      <c r="C57" s="11" t="s">
        <v>866</v>
      </c>
      <c r="D57" s="11" t="s">
        <v>89</v>
      </c>
      <c r="E57" s="11" t="s">
        <v>89</v>
      </c>
      <c r="F57" s="11" t="s">
        <v>142</v>
      </c>
      <c r="G57" s="11" t="s">
        <v>142</v>
      </c>
      <c r="H57" s="11"/>
      <c r="I57" s="11" t="s">
        <v>766</v>
      </c>
      <c r="J57" s="11" t="s">
        <v>89</v>
      </c>
    </row>
    <row r="58" customFormat="false" ht="21.75" hidden="false" customHeight="true" outlineLevel="0" collapsed="false">
      <c r="A58" s="16" t="s">
        <v>867</v>
      </c>
      <c r="B58" s="24" t="s">
        <v>850</v>
      </c>
      <c r="C58" s="11" t="s">
        <v>868</v>
      </c>
      <c r="D58" s="11" t="s">
        <v>89</v>
      </c>
      <c r="E58" s="11" t="s">
        <v>89</v>
      </c>
      <c r="F58" s="11" t="s">
        <v>142</v>
      </c>
      <c r="G58" s="11" t="s">
        <v>142</v>
      </c>
      <c r="H58" s="11"/>
      <c r="I58" s="11" t="s">
        <v>766</v>
      </c>
      <c r="J58" s="11" t="s">
        <v>89</v>
      </c>
    </row>
  </sheetData>
  <mergeCells count="11">
    <mergeCell ref="A1:J1"/>
    <mergeCell ref="A2:J2"/>
    <mergeCell ref="A4:J4"/>
    <mergeCell ref="A9:J9"/>
    <mergeCell ref="A15:J15"/>
    <mergeCell ref="A24:J24"/>
    <mergeCell ref="A29:J29"/>
    <mergeCell ref="A33:J33"/>
    <mergeCell ref="A38:J38"/>
    <mergeCell ref="A47:J47"/>
    <mergeCell ref="A55:J55"/>
  </mergeCells>
  <dataValidations count="9">
    <dataValidation allowBlank="true" errorStyle="stop" operator="between" showDropDown="false" showErrorMessage="false" showInputMessage="false" sqref="D5:G8 D10:G14 D16:G23 D25:G28 D30:G32 D34:G37 D39:G46" type="list">
      <formula1>"Yes,No,Pending,N/A"</formula1>
      <formula2>0</formula2>
    </dataValidation>
    <dataValidation allowBlank="true" errorStyle="stop" operator="between" showDropDown="false" showErrorMessage="false" showInputMessage="false" sqref="I5:I8 I10:I14 I16:I23 I25:I28 I30:I32 I34:I37 I39:I46" type="list">
      <formula1>"P0,P1,P2"</formula1>
      <formula2>0</formula2>
    </dataValidation>
    <dataValidation allowBlank="true" errorStyle="stop" operator="between" showDropDown="false" showErrorMessage="false" showInputMessage="false" sqref="J5:J8 J10:J14 J16:J23 J25:J28 J30:J32 J34:J37 J39:J46" type="list">
      <formula1>"Pass,Fail,Pending,Blocked,N/A"</formula1>
      <formula2>0</formula2>
    </dataValidation>
    <dataValidation allowBlank="true" errorStyle="stop" operator="between" showDropDown="false" showErrorMessage="false" showInputMessage="false" sqref="D48:G54" type="list">
      <formula1>"Yes,No,Pending,N/A"</formula1>
      <formula2>0</formula2>
    </dataValidation>
    <dataValidation allowBlank="true" errorStyle="stop" operator="between" showDropDown="false" showErrorMessage="false" showInputMessage="false" sqref="I48:I54" type="list">
      <formula1>"P0,P1,P2"</formula1>
      <formula2>0</formula2>
    </dataValidation>
    <dataValidation allowBlank="true" errorStyle="stop" operator="between" showDropDown="false" showErrorMessage="false" showInputMessage="false" sqref="J48:J54" type="list">
      <formula1>"Pass,Fail,Pending,Blocked,N/A"</formula1>
      <formula2>0</formula2>
    </dataValidation>
    <dataValidation allowBlank="true" errorStyle="stop" operator="between" showDropDown="false" showErrorMessage="false" showInputMessage="false" sqref="D56:G58" type="list">
      <formula1>"Yes,No,Pending,N/A"</formula1>
      <formula2>0</formula2>
    </dataValidation>
    <dataValidation allowBlank="true" errorStyle="stop" operator="between" showDropDown="false" showErrorMessage="false" showInputMessage="false" sqref="I56:I58" type="list">
      <formula1>"P0,P1,P2"</formula1>
      <formula2>0</formula2>
    </dataValidation>
    <dataValidation allowBlank="true" errorStyle="stop" operator="between" showDropDown="false" showErrorMessage="false" showInputMessage="false" sqref="J56:J58" type="list">
      <formula1>"Pass,Fail,Pending,Blocked,N/A"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28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10" min="9" style="1" width="12"/>
    <col collapsed="false" customWidth="true" hidden="false" outlineLevel="0" max="11" min="11" style="1" width="24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1"/>
    <col collapsed="false" customWidth="true" hidden="false" outlineLevel="0" max="17" min="17" style="1" width="16"/>
    <col collapsed="false" customWidth="true" hidden="false" outlineLevel="0" max="18" min="18" style="1" width="22"/>
    <col collapsed="false" customWidth="true" hidden="false" outlineLevel="0" max="19" min="19" style="1" width="18"/>
  </cols>
  <sheetData>
    <row r="1" customFormat="false" ht="33.75" hidden="false" customHeight="true" outlineLevel="0" collapsed="false">
      <c r="A1" s="2" t="s">
        <v>869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870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4" t="s">
        <v>573</v>
      </c>
      <c r="B3" s="35" t="n">
        <f aca="false">COUNTIF(H7:H500,"Critical")</f>
        <v>0</v>
      </c>
    </row>
    <row r="4" customFormat="false" ht="15" hidden="false" customHeight="true" outlineLevel="0" collapsed="false">
      <c r="A4" s="34" t="s">
        <v>569</v>
      </c>
      <c r="B4" s="35" t="n">
        <f aca="false">COUNTIF(H7:H500,"High")</f>
        <v>0</v>
      </c>
    </row>
    <row r="5" customFormat="false" ht="30" hidden="false" customHeight="true" outlineLevel="0" collapsed="false">
      <c r="A5" s="13" t="s">
        <v>871</v>
      </c>
      <c r="B5" s="13" t="s">
        <v>872</v>
      </c>
      <c r="C5" s="13" t="s">
        <v>873</v>
      </c>
      <c r="D5" s="13" t="s">
        <v>874</v>
      </c>
      <c r="E5" s="13" t="s">
        <v>556</v>
      </c>
      <c r="F5" s="13" t="s">
        <v>549</v>
      </c>
      <c r="G5" s="13" t="s">
        <v>503</v>
      </c>
      <c r="H5" s="13" t="s">
        <v>552</v>
      </c>
      <c r="I5" s="13" t="s">
        <v>553</v>
      </c>
      <c r="J5" s="13" t="s">
        <v>557</v>
      </c>
      <c r="K5" s="13" t="s">
        <v>875</v>
      </c>
      <c r="L5" s="13" t="s">
        <v>876</v>
      </c>
      <c r="M5" s="13" t="s">
        <v>555</v>
      </c>
      <c r="N5" s="13" t="s">
        <v>877</v>
      </c>
      <c r="O5" s="13" t="s">
        <v>878</v>
      </c>
      <c r="P5" s="13" t="s">
        <v>879</v>
      </c>
      <c r="Q5" s="13" t="s">
        <v>880</v>
      </c>
      <c r="R5" s="13" t="s">
        <v>164</v>
      </c>
      <c r="S5" s="13" t="s">
        <v>554</v>
      </c>
    </row>
    <row r="6" customFormat="false" ht="21.75" hidden="false" customHeight="true" outlineLevel="0" collapsed="false">
      <c r="A6" s="14"/>
      <c r="B6" s="14"/>
      <c r="C6" s="14"/>
      <c r="D6" s="14"/>
      <c r="E6" s="14"/>
      <c r="F6" s="14"/>
      <c r="G6" s="21"/>
      <c r="H6" s="14"/>
      <c r="I6" s="14"/>
      <c r="J6" s="14"/>
      <c r="K6" s="14"/>
      <c r="L6" s="14"/>
      <c r="M6" s="11"/>
      <c r="N6" s="11"/>
      <c r="O6" s="11"/>
      <c r="P6" s="11"/>
      <c r="Q6" s="11"/>
      <c r="R6" s="11"/>
      <c r="S6" s="11"/>
    </row>
    <row r="7" customFormat="false" ht="1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</sheetData>
  <mergeCells count="2">
    <mergeCell ref="A1:L1"/>
    <mergeCell ref="A2:L2"/>
  </mergeCells>
  <dataValidations count="4">
    <dataValidation allowBlank="true" errorStyle="stop" operator="between" showDropDown="false" showErrorMessage="false" showInputMessage="false" sqref="G6:G39" type="list">
      <formula1>"Open,Reopen,Being processed,Need details,Fix,Reject,Close,Not a bug,Next Version"</formula1>
      <formula2>0</formula2>
    </dataValidation>
    <dataValidation allowBlank="true" errorStyle="stop" operator="between" showDropDown="false" showErrorMessage="false" showInputMessage="false" sqref="H6:H39" type="list">
      <formula1>"Critical,High,Medium,Low"</formula1>
      <formula2>0</formula2>
    </dataValidation>
    <dataValidation allowBlank="true" errorStyle="stop" operator="between" showDropDown="false" showErrorMessage="false" showInputMessage="false" sqref="L6:L39" type="list">
      <formula1>"Pass,Pending,Reopen"</formula1>
      <formula2>0</formula2>
    </dataValidation>
    <dataValidation allowBlank="true" errorStyle="stop" operator="between" showDropDown="false" showErrorMessage="false" showInputMessage="false" sqref="N6:N39" type="list">
      <formula1>"Debug APK,Release APK,Release AAB"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4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2" min="11" style="1" width="12"/>
  </cols>
  <sheetData>
    <row r="1" customFormat="false" ht="33.75" hidden="false" customHeight="true" outlineLevel="0" collapsed="false">
      <c r="A1" s="2" t="s">
        <v>881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882</v>
      </c>
      <c r="B2" s="3"/>
      <c r="C2" s="3"/>
      <c r="D2" s="3"/>
      <c r="E2" s="3"/>
      <c r="F2" s="3"/>
    </row>
    <row r="3" customFormat="false" ht="30" hidden="false" customHeight="true" outlineLevel="0" collapsed="false">
      <c r="A3" s="13" t="s">
        <v>883</v>
      </c>
      <c r="B3" s="13" t="s">
        <v>557</v>
      </c>
      <c r="C3" s="13" t="s">
        <v>884</v>
      </c>
      <c r="D3" s="13" t="s">
        <v>878</v>
      </c>
      <c r="E3" s="13" t="s">
        <v>885</v>
      </c>
      <c r="F3" s="13" t="s">
        <v>886</v>
      </c>
      <c r="G3" s="13" t="s">
        <v>887</v>
      </c>
      <c r="H3" s="13" t="s">
        <v>888</v>
      </c>
      <c r="I3" s="13" t="s">
        <v>889</v>
      </c>
      <c r="J3" s="13" t="s">
        <v>890</v>
      </c>
      <c r="K3" s="13" t="s">
        <v>891</v>
      </c>
      <c r="L3" s="13" t="s">
        <v>892</v>
      </c>
    </row>
    <row r="4" customFormat="false" ht="15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1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customFormat="false" ht="1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E4:E23" type="list">
      <formula1>"Yes,No,Partial"</formula1>
      <formula2>0</formula2>
    </dataValidation>
    <dataValidation allowBlank="true" errorStyle="stop" operator="between" showDropDown="false" showErrorMessage="false" showInputMessage="false" sqref="C4:C23" type="list">
      <formula1>"Debug APK,Release APK,Release AAB"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8" min="7" style="1" width="14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14"/>
    <col collapsed="false" customWidth="true" hidden="false" outlineLevel="0" max="12" min="12" style="1" width="18"/>
    <col collapsed="false" customWidth="true" hidden="false" outlineLevel="0" max="13" min="13" style="1" width="12"/>
    <col collapsed="false" customWidth="true" hidden="false" outlineLevel="0" max="14" min="14" style="1" width="11"/>
    <col collapsed="false" customWidth="true" hidden="false" outlineLevel="0" max="15" min="15" style="1" width="18"/>
  </cols>
  <sheetData>
    <row r="1" customFormat="false" ht="33.75" hidden="false" customHeight="true" outlineLevel="0" collapsed="false">
      <c r="A1" s="8" t="s">
        <v>893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15" hidden="false" customHeight="true" outlineLevel="0" collapsed="false">
      <c r="A2" s="9" t="s">
        <v>894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30" hidden="false" customHeight="true" outlineLevel="0" collapsed="false">
      <c r="A3" s="13" t="s">
        <v>895</v>
      </c>
      <c r="B3" s="13" t="s">
        <v>896</v>
      </c>
      <c r="C3" s="13" t="s">
        <v>897</v>
      </c>
      <c r="D3" s="13" t="s">
        <v>898</v>
      </c>
      <c r="E3" s="13" t="s">
        <v>899</v>
      </c>
      <c r="F3" s="13" t="s">
        <v>900</v>
      </c>
      <c r="G3" s="13" t="s">
        <v>901</v>
      </c>
      <c r="H3" s="13" t="s">
        <v>902</v>
      </c>
      <c r="I3" s="13" t="s">
        <v>903</v>
      </c>
      <c r="J3" s="13" t="s">
        <v>904</v>
      </c>
      <c r="K3" s="13" t="s">
        <v>905</v>
      </c>
      <c r="L3" s="13" t="s">
        <v>906</v>
      </c>
      <c r="M3" s="13" t="s">
        <v>326</v>
      </c>
      <c r="N3" s="13" t="s">
        <v>503</v>
      </c>
      <c r="O3" s="13" t="s">
        <v>907</v>
      </c>
    </row>
    <row r="4" customFormat="false" ht="21.75" hidden="false" customHeight="true" outlineLevel="0" collapsed="false">
      <c r="A4" s="19" t="s">
        <v>908</v>
      </c>
      <c r="B4" s="11" t="s">
        <v>909</v>
      </c>
      <c r="C4" s="11" t="s">
        <v>910</v>
      </c>
      <c r="D4" s="11" t="s">
        <v>89</v>
      </c>
      <c r="E4" s="11" t="s">
        <v>911</v>
      </c>
      <c r="F4" s="11" t="s">
        <v>912</v>
      </c>
      <c r="G4" s="11" t="s">
        <v>89</v>
      </c>
      <c r="H4" s="11" t="s">
        <v>89</v>
      </c>
      <c r="I4" s="11" t="s">
        <v>89</v>
      </c>
      <c r="J4" s="11" t="s">
        <v>89</v>
      </c>
      <c r="K4" s="11" t="s">
        <v>338</v>
      </c>
      <c r="L4" s="11" t="s">
        <v>913</v>
      </c>
      <c r="M4" s="11" t="s">
        <v>88</v>
      </c>
      <c r="N4" s="11" t="s">
        <v>89</v>
      </c>
      <c r="O4" s="11" t="s">
        <v>89</v>
      </c>
    </row>
    <row r="5" customFormat="false" ht="21.75" hidden="false" customHeight="true" outlineLevel="0" collapsed="false">
      <c r="A5" s="37" t="s">
        <v>914</v>
      </c>
      <c r="B5" s="11" t="s">
        <v>915</v>
      </c>
      <c r="C5" s="11" t="s">
        <v>916</v>
      </c>
      <c r="D5" s="11" t="s">
        <v>89</v>
      </c>
      <c r="E5" s="11" t="s">
        <v>911</v>
      </c>
      <c r="F5" s="11" t="s">
        <v>917</v>
      </c>
      <c r="G5" s="11" t="s">
        <v>89</v>
      </c>
      <c r="H5" s="11" t="s">
        <v>89</v>
      </c>
      <c r="I5" s="11" t="s">
        <v>89</v>
      </c>
      <c r="J5" s="11" t="s">
        <v>89</v>
      </c>
      <c r="K5" s="11" t="s">
        <v>338</v>
      </c>
      <c r="L5" s="11" t="s">
        <v>913</v>
      </c>
      <c r="M5" s="11" t="s">
        <v>88</v>
      </c>
      <c r="N5" s="11" t="s">
        <v>89</v>
      </c>
      <c r="O5" s="11" t="s">
        <v>89</v>
      </c>
    </row>
    <row r="6" customFormat="false" ht="21.75" hidden="false" customHeight="true" outlineLevel="0" collapsed="false">
      <c r="A6" s="37" t="s">
        <v>918</v>
      </c>
      <c r="B6" s="11" t="s">
        <v>915</v>
      </c>
      <c r="C6" s="11" t="s">
        <v>916</v>
      </c>
      <c r="D6" s="11" t="s">
        <v>89</v>
      </c>
      <c r="E6" s="11" t="s">
        <v>911</v>
      </c>
      <c r="F6" s="11" t="s">
        <v>917</v>
      </c>
      <c r="G6" s="11" t="s">
        <v>89</v>
      </c>
      <c r="H6" s="11" t="s">
        <v>89</v>
      </c>
      <c r="I6" s="11" t="s">
        <v>89</v>
      </c>
      <c r="J6" s="11" t="s">
        <v>89</v>
      </c>
      <c r="K6" s="11" t="s">
        <v>338</v>
      </c>
      <c r="L6" s="11" t="s">
        <v>913</v>
      </c>
      <c r="M6" s="11" t="s">
        <v>88</v>
      </c>
      <c r="N6" s="11" t="s">
        <v>89</v>
      </c>
      <c r="O6" s="11" t="s">
        <v>89</v>
      </c>
    </row>
    <row r="7" customFormat="false" ht="15" hidden="false" customHeight="true" outlineLevel="0" collapsed="false">
      <c r="A7" s="37" t="s">
        <v>919</v>
      </c>
      <c r="B7" s="11" t="s">
        <v>915</v>
      </c>
      <c r="C7" s="11" t="s">
        <v>920</v>
      </c>
      <c r="D7" s="11" t="s">
        <v>89</v>
      </c>
      <c r="E7" s="11" t="s">
        <v>911</v>
      </c>
      <c r="F7" s="11" t="s">
        <v>917</v>
      </c>
      <c r="G7" s="11" t="s">
        <v>89</v>
      </c>
      <c r="H7" s="11" t="s">
        <v>89</v>
      </c>
      <c r="I7" s="11" t="s">
        <v>89</v>
      </c>
      <c r="J7" s="11" t="s">
        <v>89</v>
      </c>
      <c r="K7" s="11" t="s">
        <v>338</v>
      </c>
      <c r="L7" s="11" t="s">
        <v>913</v>
      </c>
      <c r="M7" s="11" t="s">
        <v>88</v>
      </c>
      <c r="N7" s="11" t="s">
        <v>89</v>
      </c>
      <c r="O7" s="11" t="s">
        <v>89</v>
      </c>
    </row>
    <row r="8" customFormat="false" ht="15" hidden="false" customHeight="true" outlineLevel="0" collapsed="false">
      <c r="A8" s="37" t="s">
        <v>921</v>
      </c>
      <c r="B8" s="11" t="s">
        <v>915</v>
      </c>
      <c r="C8" s="11" t="s">
        <v>922</v>
      </c>
      <c r="D8" s="11" t="s">
        <v>89</v>
      </c>
      <c r="E8" s="11" t="s">
        <v>911</v>
      </c>
      <c r="F8" s="11" t="s">
        <v>917</v>
      </c>
      <c r="G8" s="11" t="s">
        <v>89</v>
      </c>
      <c r="H8" s="11" t="s">
        <v>89</v>
      </c>
      <c r="I8" s="11" t="s">
        <v>89</v>
      </c>
      <c r="J8" s="11" t="s">
        <v>89</v>
      </c>
      <c r="K8" s="11" t="s">
        <v>338</v>
      </c>
      <c r="L8" s="11" t="s">
        <v>913</v>
      </c>
      <c r="M8" s="11" t="s">
        <v>88</v>
      </c>
      <c r="N8" s="11" t="s">
        <v>89</v>
      </c>
      <c r="O8" s="11" t="s">
        <v>89</v>
      </c>
    </row>
  </sheetData>
  <mergeCells count="2">
    <mergeCell ref="A1:N1"/>
    <mergeCell ref="A2:N2"/>
  </mergeCells>
  <dataValidations count="3">
    <dataValidation allowBlank="true" errorStyle="stop" operator="between" showDropDown="false" showErrorMessage="false" showInputMessage="false" sqref="D4:D8 G4:J8" type="list">
      <formula1>"Yes,No,Pending,N/A"</formula1>
      <formula2>0</formula2>
    </dataValidation>
    <dataValidation allowBlank="true" errorStyle="stop" operator="between" showDropDown="false" showErrorMessage="false" showInputMessage="false" sqref="N4:N8" type="list">
      <formula1>"Pass,Fail,Pending,Blocked"</formula1>
      <formula2>0</formula2>
    </dataValidation>
    <dataValidation allowBlank="true" errorStyle="stop" operator="between" showDropDown="false" showErrorMessage="false" showInputMessage="false" sqref="O4:O8" type="list">
      <formula1>"Yes,No,Pending,N/A"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11"/>
  </cols>
  <sheetData>
    <row r="1" customFormat="false" ht="33.75" hidden="false" customHeight="true" outlineLevel="0" collapsed="false">
      <c r="A1" s="8" t="s">
        <v>923</v>
      </c>
      <c r="B1" s="8"/>
      <c r="C1" s="8"/>
      <c r="D1" s="8"/>
      <c r="E1" s="8"/>
      <c r="F1" s="8"/>
    </row>
    <row r="2" customFormat="false" ht="15" hidden="false" customHeight="true" outlineLevel="0" collapsed="false">
      <c r="A2" s="9" t="s">
        <v>924</v>
      </c>
      <c r="B2" s="9"/>
      <c r="C2" s="9"/>
      <c r="D2" s="9"/>
      <c r="E2" s="9"/>
      <c r="F2" s="9"/>
    </row>
    <row r="3" customFormat="false" ht="24" hidden="false" customHeight="true" outlineLevel="0" collapsed="false">
      <c r="A3" s="13" t="s">
        <v>925</v>
      </c>
      <c r="B3" s="13" t="s">
        <v>926</v>
      </c>
      <c r="C3" s="13" t="s">
        <v>927</v>
      </c>
      <c r="D3" s="13" t="s">
        <v>326</v>
      </c>
      <c r="E3" s="13" t="s">
        <v>928</v>
      </c>
      <c r="F3" s="13" t="s">
        <v>503</v>
      </c>
    </row>
    <row r="4" customFormat="false" ht="15" hidden="false" customHeight="true" outlineLevel="0" collapsed="false">
      <c r="A4" s="11" t="s">
        <v>929</v>
      </c>
      <c r="B4" s="11" t="s">
        <v>930</v>
      </c>
      <c r="C4" s="16" t="s">
        <v>92</v>
      </c>
      <c r="D4" s="11" t="s">
        <v>931</v>
      </c>
      <c r="E4" s="11" t="s">
        <v>913</v>
      </c>
      <c r="F4" s="11" t="s">
        <v>89</v>
      </c>
    </row>
    <row r="5" customFormat="false" ht="15" hidden="false" customHeight="true" outlineLevel="0" collapsed="false">
      <c r="A5" s="11" t="s">
        <v>932</v>
      </c>
      <c r="B5" s="11" t="s">
        <v>933</v>
      </c>
      <c r="C5" s="16" t="s">
        <v>92</v>
      </c>
      <c r="D5" s="11" t="s">
        <v>931</v>
      </c>
      <c r="E5" s="11" t="s">
        <v>913</v>
      </c>
      <c r="F5" s="11" t="s">
        <v>89</v>
      </c>
    </row>
    <row r="6" customFormat="false" ht="15" hidden="false" customHeight="true" outlineLevel="0" collapsed="false">
      <c r="A6" s="11" t="s">
        <v>934</v>
      </c>
      <c r="B6" s="11" t="s">
        <v>935</v>
      </c>
      <c r="C6" s="16" t="s">
        <v>92</v>
      </c>
      <c r="D6" s="11" t="s">
        <v>931</v>
      </c>
      <c r="E6" s="11" t="s">
        <v>913</v>
      </c>
      <c r="F6" s="11" t="s">
        <v>89</v>
      </c>
    </row>
    <row r="7" customFormat="false" ht="15" hidden="false" customHeight="true" outlineLevel="0" collapsed="false">
      <c r="A7" s="11" t="s">
        <v>936</v>
      </c>
      <c r="B7" s="11" t="s">
        <v>937</v>
      </c>
      <c r="C7" s="16" t="s">
        <v>92</v>
      </c>
      <c r="D7" s="11" t="s">
        <v>931</v>
      </c>
      <c r="E7" s="11" t="s">
        <v>913</v>
      </c>
      <c r="F7" s="11" t="s">
        <v>89</v>
      </c>
    </row>
    <row r="8" customFormat="false" ht="21.75" hidden="false" customHeight="true" outlineLevel="0" collapsed="false">
      <c r="A8" s="11" t="s">
        <v>938</v>
      </c>
      <c r="B8" s="11" t="s">
        <v>939</v>
      </c>
      <c r="C8" s="16" t="s">
        <v>92</v>
      </c>
      <c r="D8" s="11" t="s">
        <v>931</v>
      </c>
      <c r="E8" s="11" t="s">
        <v>913</v>
      </c>
      <c r="F8" s="11" t="s">
        <v>89</v>
      </c>
    </row>
    <row r="9" customFormat="false" ht="15" hidden="false" customHeight="true" outlineLevel="0" collapsed="false">
      <c r="A9" s="11" t="s">
        <v>154</v>
      </c>
      <c r="B9" s="11" t="s">
        <v>940</v>
      </c>
      <c r="C9" s="11" t="s">
        <v>122</v>
      </c>
      <c r="D9" s="11" t="s">
        <v>931</v>
      </c>
      <c r="E9" s="11" t="s">
        <v>913</v>
      </c>
      <c r="F9" s="11" t="s">
        <v>89</v>
      </c>
    </row>
    <row r="10" customFormat="false" ht="15" hidden="false" customHeight="true" outlineLevel="0" collapsed="false">
      <c r="A10" s="11" t="s">
        <v>941</v>
      </c>
      <c r="B10" s="27" t="s">
        <v>942</v>
      </c>
      <c r="C10" s="39" t="s">
        <v>92</v>
      </c>
      <c r="D10" s="11" t="s">
        <v>931</v>
      </c>
      <c r="E10" s="11" t="s">
        <v>913</v>
      </c>
      <c r="F10" s="11" t="s">
        <v>89</v>
      </c>
    </row>
    <row r="11" customFormat="false" ht="15" hidden="false" customHeight="true" outlineLevel="0" collapsed="false">
      <c r="A11" s="11" t="s">
        <v>943</v>
      </c>
      <c r="B11" s="22" t="s">
        <v>944</v>
      </c>
      <c r="C11" s="39" t="s">
        <v>92</v>
      </c>
      <c r="D11" s="11" t="s">
        <v>931</v>
      </c>
      <c r="E11" s="11" t="s">
        <v>913</v>
      </c>
      <c r="F11" s="11" t="s">
        <v>89</v>
      </c>
    </row>
    <row r="12" customFormat="false" ht="15" hidden="false" customHeight="true" outlineLevel="0" collapsed="false">
      <c r="A12" s="11" t="s">
        <v>945</v>
      </c>
      <c r="B12" s="23" t="s">
        <v>946</v>
      </c>
      <c r="C12" s="11" t="s">
        <v>122</v>
      </c>
      <c r="D12" s="11" t="s">
        <v>931</v>
      </c>
      <c r="E12" s="11" t="s">
        <v>913</v>
      </c>
      <c r="F12" s="11" t="s">
        <v>89</v>
      </c>
    </row>
    <row r="13" customFormat="false" ht="15" hidden="false" customHeight="true" outlineLevel="0" collapsed="false">
      <c r="A13" s="11" t="s">
        <v>947</v>
      </c>
      <c r="B13" s="11" t="s">
        <v>948</v>
      </c>
      <c r="C13" s="16" t="s">
        <v>92</v>
      </c>
      <c r="D13" s="11" t="s">
        <v>931</v>
      </c>
      <c r="E13" s="11" t="s">
        <v>913</v>
      </c>
      <c r="F13" s="11" t="s">
        <v>89</v>
      </c>
    </row>
    <row r="14" customFormat="false" ht="15" hidden="false" customHeight="true" outlineLevel="0" collapsed="false">
      <c r="A14" s="11" t="s">
        <v>949</v>
      </c>
      <c r="B14" s="11" t="s">
        <v>950</v>
      </c>
      <c r="C14" s="16" t="s">
        <v>92</v>
      </c>
      <c r="D14" s="11" t="s">
        <v>931</v>
      </c>
      <c r="E14" s="11" t="s">
        <v>913</v>
      </c>
      <c r="F14" s="11" t="s">
        <v>89</v>
      </c>
    </row>
    <row r="15" customFormat="false" ht="15" hidden="false" customHeight="true" outlineLevel="0" collapsed="false">
      <c r="A15" s="11" t="s">
        <v>951</v>
      </c>
      <c r="B15" s="11" t="s">
        <v>952</v>
      </c>
      <c r="C15" s="16" t="s">
        <v>92</v>
      </c>
      <c r="D15" s="11" t="s">
        <v>931</v>
      </c>
      <c r="E15" s="11" t="s">
        <v>913</v>
      </c>
      <c r="F15" s="11" t="s">
        <v>89</v>
      </c>
    </row>
    <row r="16" customFormat="false" ht="15" hidden="false" customHeight="true" outlineLevel="0" collapsed="false">
      <c r="A16" s="11" t="s">
        <v>953</v>
      </c>
      <c r="B16" s="11" t="s">
        <v>954</v>
      </c>
      <c r="C16" s="16" t="s">
        <v>92</v>
      </c>
      <c r="D16" s="11" t="s">
        <v>931</v>
      </c>
      <c r="E16" s="11" t="s">
        <v>913</v>
      </c>
      <c r="F16" s="11" t="s">
        <v>89</v>
      </c>
    </row>
    <row r="17" customFormat="false" ht="15" hidden="false" customHeight="true" outlineLevel="0" collapsed="false">
      <c r="A17" s="11" t="s">
        <v>955</v>
      </c>
      <c r="B17" s="11" t="s">
        <v>956</v>
      </c>
      <c r="C17" s="16" t="s">
        <v>92</v>
      </c>
      <c r="D17" s="11" t="s">
        <v>931</v>
      </c>
      <c r="E17" s="11" t="s">
        <v>913</v>
      </c>
      <c r="F17" s="11" t="s">
        <v>89</v>
      </c>
    </row>
    <row r="18" customFormat="false" ht="15" hidden="false" customHeight="true" outlineLevel="0" collapsed="false">
      <c r="A18" s="11" t="s">
        <v>957</v>
      </c>
      <c r="B18" s="11" t="s">
        <v>958</v>
      </c>
      <c r="C18" s="16" t="s">
        <v>92</v>
      </c>
      <c r="D18" s="11" t="s">
        <v>931</v>
      </c>
      <c r="E18" s="11" t="s">
        <v>913</v>
      </c>
      <c r="F18" s="11" t="s">
        <v>89</v>
      </c>
    </row>
    <row r="19" customFormat="false" ht="21.75" hidden="false" customHeight="true" outlineLevel="0" collapsed="false">
      <c r="A19" s="11" t="s">
        <v>959</v>
      </c>
      <c r="B19" s="11" t="s">
        <v>960</v>
      </c>
      <c r="C19" s="16" t="s">
        <v>92</v>
      </c>
      <c r="D19" s="11" t="s">
        <v>931</v>
      </c>
      <c r="E19" s="19" t="s">
        <v>961</v>
      </c>
      <c r="F19" s="11" t="s">
        <v>89</v>
      </c>
    </row>
    <row r="20" customFormat="false" ht="32.25" hidden="false" customHeight="true" outlineLevel="0" collapsed="false">
      <c r="A20" s="23" t="s">
        <v>962</v>
      </c>
      <c r="B20" s="23" t="s">
        <v>963</v>
      </c>
      <c r="C20" s="39" t="s">
        <v>92</v>
      </c>
      <c r="D20" s="23" t="s">
        <v>931</v>
      </c>
      <c r="E20" s="23" t="s">
        <v>913</v>
      </c>
      <c r="F20" s="23" t="s">
        <v>89</v>
      </c>
    </row>
    <row r="21" customFormat="false" ht="21.75" hidden="false" customHeight="true" outlineLevel="0" collapsed="false">
      <c r="A21" s="23" t="s">
        <v>964</v>
      </c>
      <c r="B21" s="23" t="s">
        <v>965</v>
      </c>
      <c r="C21" s="39" t="s">
        <v>92</v>
      </c>
      <c r="D21" s="23" t="s">
        <v>931</v>
      </c>
      <c r="E21" s="23" t="s">
        <v>913</v>
      </c>
      <c r="F21" s="23" t="s">
        <v>89</v>
      </c>
    </row>
    <row r="22" customFormat="false" ht="15" hidden="false" customHeight="true" outlineLevel="0" collapsed="false">
      <c r="A22" s="30" t="s">
        <v>966</v>
      </c>
      <c r="B22" s="30"/>
      <c r="C22" s="30"/>
      <c r="D22" s="30"/>
      <c r="E22" s="30"/>
      <c r="F22" s="30"/>
    </row>
    <row r="23" customFormat="false" ht="25.5" hidden="false" customHeight="true" outlineLevel="0" collapsed="false">
      <c r="A23" s="32" t="s">
        <v>967</v>
      </c>
      <c r="B23" s="32"/>
      <c r="C23" s="32"/>
      <c r="D23" s="32"/>
      <c r="E23" s="32"/>
      <c r="F23" s="32"/>
    </row>
    <row r="24" customFormat="false" ht="25.5" hidden="false" customHeight="true" outlineLevel="0" collapsed="false">
      <c r="A24" s="33" t="s">
        <v>968</v>
      </c>
      <c r="B24" s="33"/>
      <c r="C24" s="33"/>
      <c r="D24" s="33"/>
      <c r="E24" s="33"/>
      <c r="F24" s="33"/>
    </row>
    <row r="25" customFormat="false" ht="25.5" hidden="false" customHeight="true" outlineLevel="0" collapsed="false">
      <c r="A25" s="32" t="s">
        <v>969</v>
      </c>
      <c r="B25" s="32"/>
      <c r="C25" s="32"/>
      <c r="D25" s="32"/>
      <c r="E25" s="32"/>
      <c r="F25" s="32"/>
    </row>
    <row r="26" customFormat="false" ht="25.5" hidden="false" customHeight="true" outlineLevel="0" collapsed="false">
      <c r="A26" s="32" t="s">
        <v>970</v>
      </c>
      <c r="B26" s="32"/>
      <c r="C26" s="32"/>
      <c r="D26" s="32"/>
      <c r="E26" s="32"/>
      <c r="F26" s="32"/>
    </row>
    <row r="27" customFormat="false" ht="25.5" hidden="false" customHeight="true" outlineLevel="0" collapsed="false">
      <c r="A27" s="32" t="s">
        <v>971</v>
      </c>
      <c r="B27" s="32"/>
      <c r="C27" s="32"/>
      <c r="D27" s="32"/>
      <c r="E27" s="32"/>
      <c r="F27" s="32"/>
    </row>
  </sheetData>
  <mergeCells count="8">
    <mergeCell ref="A1:F1"/>
    <mergeCell ref="A2:F2"/>
    <mergeCell ref="A22:F22"/>
    <mergeCell ref="A23:F23"/>
    <mergeCell ref="A24:F24"/>
    <mergeCell ref="A25:F25"/>
    <mergeCell ref="A26:F26"/>
    <mergeCell ref="A27:F27"/>
  </mergeCells>
  <dataValidations count="6">
    <dataValidation allowBlank="true" errorStyle="stop" operator="between" showDropDown="false" showErrorMessage="false" showInputMessage="false" sqref="C4:C18" type="list">
      <formula1>"Launch blocker,Scale blocker,Nice-to-have"</formula1>
      <formula2>0</formula2>
    </dataValidation>
    <dataValidation allowBlank="true" errorStyle="stop" operator="between" showDropDown="false" showErrorMessage="false" showInputMessage="false" sqref="F4:F18" type="list">
      <formula1>"Pass,Fail,Pending,Blocked,N/A"</formula1>
      <formula2>0</formula2>
    </dataValidation>
    <dataValidation allowBlank="true" errorStyle="stop" operator="between" showDropDown="false" showErrorMessage="false" showInputMessage="false" sqref="F19" type="list">
      <formula1>"Pass,Fail,Pending,Blocked,N/A"</formula1>
      <formula2>0</formula2>
    </dataValidation>
    <dataValidation allowBlank="true" errorStyle="stop" operator="between" showDropDown="false" showErrorMessage="false" showInputMessage="false" sqref="C19" type="list">
      <formula1>"Launch blocker,Scale blocker,Nice-to-have"</formula1>
      <formula2>0</formula2>
    </dataValidation>
    <dataValidation allowBlank="true" errorStyle="stop" operator="between" showDropDown="false" showErrorMessage="false" showInputMessage="false" sqref="F20:F21" type="list">
      <formula1>"Pass,Fail,Pending,Blocked,N/A"</formula1>
      <formula2>0</formula2>
    </dataValidation>
    <dataValidation allowBlank="true" errorStyle="stop" operator="between" showDropDown="false" showErrorMessage="false" showInputMessage="false" sqref="C20:C21" type="list">
      <formula1>"Launch blocker,Scale blocker,Nice-to-have"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2026-06-24T00:41:06Z</dcterms:created>
  <dc:creator>openpyxl</dc:creator>
  <dc:description/>
  <dc:language>en-US</dc:language>
  <cp:lastModifiedBy/>
  <dcterms:modified xsi:type="dcterms:W3CDTF">2026-06-24T03:13:25Z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